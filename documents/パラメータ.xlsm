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D54D9B7F-8130-4743-963F-A4B9DD9BB760}" xr6:coauthVersionLast="45" xr6:coauthVersionMax="45" xr10:uidLastSave="{00000000-0000-0000-0000-000000000000}"/>
  <bookViews>
    <workbookView xWindow="840" yWindow="-120" windowWidth="28080" windowHeight="16440" activeTab="1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</sheets>
  <definedNames>
    <definedName name="_xlnm._FilterDatabase" localSheetId="3" hidden="1">ARMOR!$A$1:$A$7</definedName>
    <definedName name="_xlnm._FilterDatabase" localSheetId="0" hidden="1">BATTLE!$A$2:$C$6</definedName>
    <definedName name="_xlnm._FilterDatabase" localSheetId="5" hidden="1">HELMET!$A$1:$A$4</definedName>
    <definedName name="_xlnm._FilterDatabase" localSheetId="1" hidden="1">MONSTER!$A$1:$AA$51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MONSTER!$C$1:$Q$50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8" i="2" l="1"/>
  <c r="J67" i="2"/>
  <c r="B68" i="2"/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<sst xmlns="http://schemas.openxmlformats.org/spreadsheetml/2006/main" count="299" uniqueCount="181">
  <si>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</si>
  <si>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</si>
  <si>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</si>
  <si>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</si>
  <si>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</si>
  <si>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</si>
  <si>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</si>
  <si>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</si>
  <si>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</si>
  <si>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</si>
  <si>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</si>
  <si>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</si>
  <si>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</si>
  <si>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</si>
  <si>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</si>
  <si>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ZOMBIE</t>
    <phoneticPr fontId="1"/>
  </si>
  <si>
    <t>AZTEC</t>
    <phoneticPr fontId="1"/>
  </si>
  <si>
    <t>GOBLIN</t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</si>
  <si>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</si>
  <si>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</si>
  <si>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</si>
  <si>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</si>
  <si>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</si>
  <si>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</si>
  <si>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</si>
  <si>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</si>
  <si>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ZOMBIE_LV1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</si>
  <si>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</si>
  <si>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</si>
  <si>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</si>
  <si>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</si>
  <si>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</si>
  <si>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</si>
  <si>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</si>
  <si>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</si>
  <si>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</si>
  <si>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</si>
  <si>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</si>
  <si>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</si>
  <si>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</si>
  <si>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</si>
  <si>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</si>
  <si>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</si>
  <si>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</si>
  <si>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</si>
  <si>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</si>
  <si>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</si>
  <si>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</si>
  <si>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</si>
  <si>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</si>
  <si>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</si>
  <si>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</si>
  <si>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</si>
  <si>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</si>
  <si>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</si>
  <si>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</si>
  <si>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</si>
  <si>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</si>
  <si>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</si>
  <si>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</si>
  <si>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</si>
  <si>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</si>
  <si>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</si>
  <si>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</si>
  <si>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</si>
  <si>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</si>
  <si>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</si>
  <si>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</si>
  <si>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</si>
  <si>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</si>
  <si>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</si>
  <si>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</si>
  <si>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</si>
  <si>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KOBOLD</t>
    <phoneticPr fontId="1"/>
  </si>
  <si>
    <t>KOBOLD_LV1</t>
    <phoneticPr fontId="1"/>
  </si>
  <si>
    <t>KOBOLD_LV2</t>
    <phoneticPr fontId="1"/>
  </si>
  <si>
    <t>SKELETON_LV1</t>
    <phoneticPr fontId="1"/>
  </si>
  <si>
    <t>SKELETON</t>
    <phoneticPr fontId="1"/>
  </si>
  <si>
    <t>SKELETON_LV2</t>
    <phoneticPr fontId="1"/>
  </si>
  <si>
    <t>MUMMY_LV1</t>
    <phoneticPr fontId="1"/>
  </si>
  <si>
    <t>MUMMY_LV2</t>
    <phoneticPr fontId="1"/>
  </si>
  <si>
    <t>MUMMY</t>
    <phoneticPr fontId="1"/>
  </si>
  <si>
    <t>ORC_LV1</t>
    <phoneticPr fontId="1"/>
  </si>
  <si>
    <t>ORC</t>
    <phoneticPr fontId="1"/>
  </si>
  <si>
    <t>ORC_LV2</t>
    <phoneticPr fontId="1"/>
  </si>
  <si>
    <t>COBRA</t>
    <phoneticPr fontId="1"/>
  </si>
  <si>
    <t>COBRA_LV1</t>
    <phoneticPr fontId="1"/>
  </si>
  <si>
    <t>BLAAB_LV1</t>
    <phoneticPr fontId="1"/>
  </si>
  <si>
    <t>BLAAB</t>
    <phoneticPr fontId="1"/>
  </si>
  <si>
    <t>VAMPIRE_LV1</t>
    <phoneticPr fontId="1"/>
  </si>
  <si>
    <t>VAMPIRE</t>
    <phoneticPr fontId="1"/>
  </si>
  <si>
    <t>OGRE_LV1</t>
    <phoneticPr fontId="1"/>
  </si>
  <si>
    <t>OGRE</t>
    <phoneticPr fontId="1"/>
  </si>
  <si>
    <t>HOBGOBLIN_LV1</t>
    <phoneticPr fontId="1"/>
  </si>
  <si>
    <t>HOBGOBLIN</t>
    <phoneticPr fontId="1"/>
  </si>
  <si>
    <t>WIRKAT</t>
    <phoneticPr fontId="1"/>
  </si>
  <si>
    <t>WIRKAT_LV1</t>
    <phoneticPr fontId="1"/>
  </si>
  <si>
    <t>KRAKEN_LV1</t>
    <phoneticPr fontId="1"/>
  </si>
  <si>
    <t>KRAKEN</t>
    <phoneticPr fontId="1"/>
  </si>
  <si>
    <t>B5</t>
    <phoneticPr fontId="1"/>
  </si>
  <si>
    <t>BEAST_LV1</t>
    <phoneticPr fontId="1"/>
  </si>
  <si>
    <t>BEAST</t>
    <phoneticPr fontId="1"/>
  </si>
  <si>
    <t>HIDER</t>
    <phoneticPr fontId="1"/>
  </si>
  <si>
    <t>HIDER_LV1</t>
    <phoneticPr fontId="1"/>
  </si>
  <si>
    <t>DEMON_LV1</t>
    <phoneticPr fontId="1"/>
  </si>
  <si>
    <t>DEMON</t>
    <phoneticPr fontId="1"/>
  </si>
  <si>
    <t>GHOST_LV1</t>
    <phoneticPr fontId="1"/>
  </si>
  <si>
    <t>GHOST</t>
    <phoneticPr fontId="1"/>
  </si>
  <si>
    <t>TROLL_LV1</t>
    <phoneticPr fontId="1"/>
  </si>
  <si>
    <t>TROLL</t>
    <phoneticPr fontId="1"/>
  </si>
  <si>
    <t>B6</t>
    <phoneticPr fontId="1"/>
  </si>
  <si>
    <t>MIER_LV1</t>
    <phoneticPr fontId="1"/>
  </si>
  <si>
    <t>MIER</t>
    <phoneticPr fontId="1"/>
  </si>
  <si>
    <t>WRAITH_LV1</t>
    <phoneticPr fontId="1"/>
  </si>
  <si>
    <t>WRAITH</t>
    <phoneticPr fontId="1"/>
  </si>
  <si>
    <t>TAURUS</t>
    <phoneticPr fontId="1"/>
  </si>
  <si>
    <t>GIANT</t>
    <phoneticPr fontId="1"/>
  </si>
  <si>
    <t>GIANT_LV1</t>
    <phoneticPr fontId="1"/>
  </si>
  <si>
    <t>WIRKAT_LV2</t>
    <phoneticPr fontId="1"/>
  </si>
  <si>
    <t>DEMON_LV2</t>
    <phoneticPr fontId="1"/>
  </si>
  <si>
    <t>攻撃・防御共に高い</t>
    <rPh sb="0" eb="2">
      <t>コウゲキ</t>
    </rPh>
    <rPh sb="3" eb="5">
      <t>ボウギョ</t>
    </rPh>
    <rPh sb="5" eb="6">
      <t>トモ</t>
    </rPh>
    <rPh sb="7" eb="8">
      <t>タカ</t>
    </rPh>
    <phoneticPr fontId="1"/>
  </si>
  <si>
    <t>防御が高い</t>
    <rPh sb="0" eb="2">
      <t>ボウギョ</t>
    </rPh>
    <rPh sb="3" eb="4">
      <t>タカ</t>
    </rPh>
    <phoneticPr fontId="1"/>
  </si>
  <si>
    <t>強い</t>
    <rPh sb="0" eb="1">
      <t>ツヨ</t>
    </rPh>
    <phoneticPr fontId="1"/>
  </si>
  <si>
    <t>攻撃が高い、よく5匹で出現する</t>
    <rPh sb="0" eb="2">
      <t>コウゲキ</t>
    </rPh>
    <rPh sb="3" eb="4">
      <t>タカ</t>
    </rPh>
    <rPh sb="9" eb="10">
      <t>ヒキ</t>
    </rPh>
    <rPh sb="11" eb="13">
      <t>シュツゲン</t>
    </rPh>
    <phoneticPr fontId="1"/>
  </si>
  <si>
    <t>ハイダーのマントを入手することが可能</t>
    <rPh sb="9" eb="11">
      <t>ニュウシュ</t>
    </rPh>
    <rPh sb="16" eb="18">
      <t>カノウ</t>
    </rPh>
    <phoneticPr fontId="1"/>
  </si>
  <si>
    <t>HP最大値を削る特殊攻撃あり</t>
    <rPh sb="2" eb="5">
      <t>サイダイチ</t>
    </rPh>
    <rPh sb="6" eb="7">
      <t>ケズ</t>
    </rPh>
    <rPh sb="8" eb="10">
      <t>トクシュ</t>
    </rPh>
    <rPh sb="10" eb="12">
      <t>コウゲキ</t>
    </rPh>
    <phoneticPr fontId="1"/>
  </si>
  <si>
    <t>HPが非常に高い</t>
    <rPh sb="3" eb="5">
      <t>ヒジョウ</t>
    </rPh>
    <rPh sb="6" eb="7">
      <t>タカ</t>
    </rPh>
    <phoneticPr fontId="1"/>
  </si>
  <si>
    <t>HP、攻撃力が高い</t>
    <rPh sb="3" eb="6">
      <t>コウゲキリョク</t>
    </rPh>
    <rPh sb="7" eb="8">
      <t>タカ</t>
    </rPh>
    <phoneticPr fontId="1"/>
  </si>
  <si>
    <t>MIER_LV2</t>
    <phoneticPr fontId="1"/>
  </si>
  <si>
    <t>なかなか強敵。お金を落とす。</t>
    <rPh sb="4" eb="6">
      <t>キョウテキ</t>
    </rPh>
    <rPh sb="8" eb="9">
      <t>カネ</t>
    </rPh>
    <rPh sb="10" eb="11">
      <t>オ</t>
    </rPh>
    <phoneticPr fontId="1"/>
  </si>
  <si>
    <t>攻撃力が高い。いつも2匹で出現。お金を落とす。</t>
    <rPh sb="0" eb="3">
      <t>コウゲキリョク</t>
    </rPh>
    <rPh sb="4" eb="5">
      <t>タカ</t>
    </rPh>
    <rPh sb="11" eb="12">
      <t>ヒキ</t>
    </rPh>
    <rPh sb="13" eb="15">
      <t>シュツゲン</t>
    </rPh>
    <rPh sb="17" eb="18">
      <t>カネ</t>
    </rPh>
    <rPh sb="19" eb="20">
      <t>オ</t>
    </rPh>
    <phoneticPr fontId="1"/>
  </si>
  <si>
    <t>HPが多いが防御が低い。攻撃は高い。</t>
    <rPh sb="3" eb="4">
      <t>オオ</t>
    </rPh>
    <rPh sb="6" eb="8">
      <t>ボウギョ</t>
    </rPh>
    <rPh sb="9" eb="10">
      <t>ヒク</t>
    </rPh>
    <rPh sb="12" eb="14">
      <t>コウゲキ</t>
    </rPh>
    <rPh sb="15" eb="16">
      <t>タカ</t>
    </rPh>
    <phoneticPr fontId="1"/>
  </si>
  <si>
    <t>ちょっと固め</t>
    <rPh sb="4" eb="5">
      <t>カタ</t>
    </rPh>
    <phoneticPr fontId="1"/>
  </si>
  <si>
    <t>※フロアは各ダンジョン（墓地、井戸、ダンジョン）で共通</t>
    <rPh sb="5" eb="6">
      <t>カク</t>
    </rPh>
    <rPh sb="12" eb="14">
      <t>ボチ</t>
    </rPh>
    <rPh sb="15" eb="17">
      <t>イド</t>
    </rPh>
    <rPh sb="25" eb="27">
      <t>キョウツウ</t>
    </rPh>
    <phoneticPr fontId="1"/>
  </si>
  <si>
    <t>※B6はカラー迷路</t>
    <rPh sb="7" eb="9">
      <t>メイロ</t>
    </rPh>
    <phoneticPr fontId="1"/>
  </si>
  <si>
    <t>※TWRはブラックタワー</t>
    <phoneticPr fontId="1"/>
  </si>
  <si>
    <t>備考</t>
    <rPh sb="0" eb="2">
      <t>ビコウ</t>
    </rPh>
    <phoneticPr fontId="1"/>
  </si>
  <si>
    <t>街</t>
    <rPh sb="0" eb="1">
      <t>マチ</t>
    </rPh>
    <phoneticPr fontId="1"/>
  </si>
  <si>
    <t>墓場</t>
    <rPh sb="0" eb="2">
      <t>ハカバ</t>
    </rPh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</si>
  <si>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</si>
  <si>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</si>
  <si>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</si>
  <si>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</si>
  <si>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B5</t>
    <phoneticPr fontId="1"/>
  </si>
  <si>
    <t>BT</t>
    <phoneticPr fontId="1"/>
  </si>
  <si>
    <t>〇</t>
    <phoneticPr fontId="1"/>
  </si>
  <si>
    <t>〇</t>
    <phoneticPr fontId="1"/>
  </si>
  <si>
    <t>GHOUL_LV2</t>
    <phoneticPr fontId="1"/>
  </si>
  <si>
    <t>SPIDER_LV2</t>
    <phoneticPr fontId="1"/>
  </si>
  <si>
    <t>SPIDER_LV3</t>
    <phoneticPr fontId="1"/>
  </si>
  <si>
    <t>COBRA_LV2</t>
    <phoneticPr fontId="1"/>
  </si>
  <si>
    <t>BLAAB_LV2</t>
    <phoneticPr fontId="1"/>
  </si>
  <si>
    <t>VAMPIRE_LV2</t>
    <phoneticPr fontId="1"/>
  </si>
  <si>
    <t>VAMPIRE_LV3</t>
    <phoneticPr fontId="1"/>
  </si>
  <si>
    <t>TAURUS_LV1</t>
    <phoneticPr fontId="1"/>
  </si>
  <si>
    <t>OGRE_LV2</t>
    <phoneticPr fontId="1"/>
  </si>
  <si>
    <t>7</t>
    <phoneticPr fontId="1"/>
  </si>
  <si>
    <t>LEVEL</t>
    <phoneticPr fontId="1"/>
  </si>
  <si>
    <t>CITY、B1</t>
    <phoneticPr fontId="1"/>
  </si>
  <si>
    <t>TWR</t>
    <phoneticPr fontId="1"/>
  </si>
  <si>
    <t>STR</t>
    <phoneticPr fontId="1"/>
  </si>
  <si>
    <t>DEF</t>
    <phoneticPr fontId="1"/>
  </si>
  <si>
    <t>DEX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</si>
  <si>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</si>
  <si>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</si>
  <si>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</si>
  <si>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</si>
  <si>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LIFE</t>
    <phoneticPr fontId="1"/>
  </si>
  <si>
    <t>PlayerParty : Initialized.</t>
  </si>
  <si>
    <t>DORYS level=1 life=9 str=1+8 def=3+4+2+4 dex=2 weapon=MACE armor=LEATHER shield=S SHIELD helm=CHAIN COIF</t>
  </si>
  <si>
    <t>RENYN level=1 life=8 str=1+8 def=3+4+2+4 dex=3 weapon=MACE armor=LEATHER shield=S SHIELD helm=CHAIN COIF</t>
  </si>
  <si>
    <t>GON level=1 life=7 str=4+8 def=1+4+2+4 dex=3 weapon=MACE armor=LEATHER shield=S SHIELD helm=CHAIN COIF</t>
  </si>
  <si>
    <t>JAYRY level=1 life=8 str=4+8 def=1+4+2+4 dex=2 weapon=MACE armor=LEATHER shield=S SHIELD helm=CHAIN COIF</t>
  </si>
  <si>
    <t>HIROA level=1 life=10 str=1+8 def=1+4+2+4 dex=3 weapon=MACE armor=LEATHER shield=S SHIELD helm=CHAIN COIF</t>
  </si>
  <si>
    <t>②ダメージ計算</t>
    <rPh sb="5" eb="7">
      <t>ケイサン</t>
    </rPh>
    <phoneticPr fontId="1"/>
  </si>
  <si>
    <t>①命中・回避判定</t>
    <rPh sb="1" eb="3">
      <t>メイチュウ</t>
    </rPh>
    <rPh sb="4" eb="6">
      <t>カイヒ</t>
    </rPh>
    <rPh sb="6" eb="8">
      <t>ハンテイ</t>
    </rPh>
    <phoneticPr fontId="1"/>
  </si>
  <si>
    <t>=100 - ( 相手のDEX / 自分のDEX )  * 10</t>
    <rPh sb="9" eb="11">
      <t>アイテ</t>
    </rPh>
    <rPh sb="18" eb="20">
      <t>ジブン</t>
    </rPh>
    <phoneticPr fontId="1"/>
  </si>
  <si>
    <t>↑もう少しメリハリのあるダメージにしたい</t>
    <rPh sb="3" eb="4">
      <t>スコ</t>
    </rPh>
    <phoneticPr fontId="1"/>
  </si>
  <si>
    <t>=(  自分のSTR ^ 2 / 相手のDEF ) - 相手のDEF</t>
    <rPh sb="28" eb="30">
      <t>アイテ</t>
    </rPh>
    <phoneticPr fontId="1"/>
  </si>
  <si>
    <t>CL</t>
    <phoneticPr fontId="1"/>
  </si>
  <si>
    <t>TROLL_LV1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</si>
</sst>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theme="8"/>
      <name val="Yu Gothic"/>
      <family val="2"/>
      <scheme val="minor"/>
    </font>
    <font>
      <sz val="11"/>
      <color theme="8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0" borderId="2" xfId="0" applyNumberFormat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2" borderId="3" xfId="0" applyNumberFormat="1" applyFont="1" applyFill="1" applyBorder="1"/>
    <xf numFmtId="49" fontId="0" fillId="0" borderId="0" xfId="0" applyNumberFormat="1"/>
    <xf numFmtId="0" fontId="0" fillId="0" borderId="7" xfId="0" applyBorder="1"/>
    <xf numFmtId="49" fontId="0" fillId="3" borderId="6" xfId="0" applyNumberFormat="1" applyFill="1" applyBorder="1"/>
    <xf numFmtId="0" fontId="0" fillId="4" borderId="5" xfId="0" applyFill="1" applyBorder="1"/>
    <xf numFmtId="0" fontId="2" fillId="6" borderId="1" xfId="0" applyFont="1" applyFill="1" applyBorder="1"/>
    <xf numFmtId="0" fontId="0" fillId="0" borderId="9" xfId="0" applyNumberFormat="1" applyFont="1" applyFill="1" applyBorder="1"/>
    <xf numFmtId="0" fontId="0" fillId="0" borderId="9" xfId="0" applyNumberFormat="1" applyFill="1" applyBorder="1"/>
    <xf numFmtId="0" fontId="0" fillId="0" borderId="0" xfId="0" applyNumberFormat="1" applyFill="1"/>
    <xf numFmtId="0" fontId="3" fillId="5" borderId="0" xfId="0" applyFont="1" applyFill="1"/>
    <xf numFmtId="0" fontId="4" fillId="5" borderId="0" xfId="0" applyFont="1" applyFill="1"/>
    <xf numFmtId="0" fontId="5" fillId="0" borderId="0" xfId="0" applyFont="1"/>
    <xf numFmtId="0" fontId="5" fillId="0" borderId="9" xfId="0" applyNumberFormat="1" applyFont="1" applyFill="1" applyBorder="1"/>
    <xf numFmtId="0" fontId="6" fillId="0" borderId="0" xfId="0" applyNumberFormat="1" applyFont="1" applyFill="1" applyBorder="1"/>
    <xf numFmtId="0" fontId="6" fillId="0" borderId="0" xfId="0" applyNumberFormat="1" applyFont="1" applyFill="1"/>
    <xf numFmtId="0" fontId="5" fillId="0" borderId="8" xfId="0" applyNumberFormat="1" applyFont="1" applyFill="1" applyBorder="1"/>
    <xf numFmtId="0" fontId="6" fillId="0" borderId="9" xfId="0" applyNumberFormat="1" applyFont="1" applyFill="1" applyBorder="1"/>
    <xf numFmtId="0" fontId="6" fillId="0" borderId="0" xfId="0" applyFont="1"/>
    <xf numFmtId="0" fontId="6" fillId="0" borderId="10" xfId="0" applyNumberFormat="1" applyFont="1" applyFill="1" applyBorder="1"/>
    <xf numFmtId="49" fontId="0" fillId="3" borderId="6" xfId="0" applyNumberFormat="1" applyFill="1" applyBorder="1" applyAlignment="1"/>
    <xf numFmtId="0" fontId="0" fillId="3" borderId="7" xfId="0" applyFill="1" applyBorder="1" applyAlignment="1"/>
    <xf numFmtId="0" fontId="0" fillId="0" borderId="0" xfId="0" quotePrefix="1"/>
  </cellXfs>
  <cellStyles count="1">
    <cellStyle name="標準" xfId="0" builtinId="0"/>
  </cellStyles>
  <dxfs count="34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  <xdr:twoCellAnchor>
    <xdr:from>
      <xdr:col>1</xdr:col>
      <xdr:colOff>1005416</xdr:colOff>
      <xdr:row>11</xdr:row>
      <xdr:rowOff>148167</xdr:rowOff>
    </xdr:from>
    <xdr:to>
      <xdr:col>7</xdr:col>
      <xdr:colOff>349250</xdr:colOff>
      <xdr:row>41</xdr:row>
      <xdr:rowOff>95250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E324472-B398-4272-8CFE-2167B48CC2B9}"/>
            </a:ext>
          </a:extLst>
        </xdr:cNvPr>
        <xdr:cNvSpPr txBox="1"/>
      </xdr:nvSpPr>
      <xdr:spPr>
        <a:xfrm>
          <a:off x="1693333" y="2825750"/>
          <a:ext cx="5767917" cy="7249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/>
            <a:t>武器</a:t>
          </a:r>
          <a:br>
            <a:rPr lang="ja-JP" altLang="en-US"/>
          </a:br>
          <a:br>
            <a:rPr lang="ja-JP" altLang="en-US"/>
          </a:br>
          <a:r>
            <a:rPr lang="ja-JP" altLang="en-US"/>
            <a:t>ナイフ</a:t>
          </a:r>
          <a:r>
            <a:rPr lang="en-US" altLang="ja-JP"/>
            <a:t>:</a:t>
          </a:r>
          <a:r>
            <a:rPr lang="ja-JP" altLang="en-US"/>
            <a:t>攻撃力２ 命中率９０　重量１　１０ＧＰ</a:t>
          </a:r>
          <a:br>
            <a:rPr lang="ja-JP" altLang="en-US"/>
          </a:br>
          <a:r>
            <a:rPr lang="ja-JP" altLang="en-US"/>
            <a:t>クラブ</a:t>
          </a:r>
          <a:r>
            <a:rPr lang="en-US" altLang="ja-JP"/>
            <a:t>:</a:t>
          </a:r>
          <a:r>
            <a:rPr lang="ja-JP" altLang="en-US"/>
            <a:t>攻撃力４　命中率９０　重量２　２０ＧＰ</a:t>
          </a:r>
          <a:br>
            <a:rPr lang="ja-JP" altLang="en-US"/>
          </a:br>
          <a:r>
            <a:rPr lang="ja-JP" altLang="en-US"/>
            <a:t>メイス：攻撃力６　命中率９０　重量２　４０ＧＰ</a:t>
          </a:r>
          <a:br>
            <a:rPr lang="ja-JP" altLang="en-US"/>
          </a:br>
          <a:r>
            <a:rPr lang="ja-JP" altLang="en-US"/>
            <a:t>ショートソード：攻撃力１０　命中率９０　重量３　８０ＧＰ</a:t>
          </a:r>
          <a:br>
            <a:rPr lang="ja-JP" altLang="en-US"/>
          </a:br>
          <a:r>
            <a:rPr lang="ja-JP" altLang="en-US"/>
            <a:t>アクス：攻撃力１２　命中率８０　重量５　１６０ＧＰ</a:t>
          </a:r>
          <a:br>
            <a:rPr lang="ja-JP" altLang="en-US"/>
          </a:br>
          <a:r>
            <a:rPr lang="ja-JP" altLang="en-US"/>
            <a:t>スピア（両）：攻撃力１６　命中率７０　重量７　３２０ＧＰ</a:t>
          </a:r>
          <a:br>
            <a:rPr lang="ja-JP" altLang="en-US"/>
          </a:br>
          <a:r>
            <a:rPr lang="ja-JP" altLang="en-US"/>
            <a:t>ブロードソード：攻撃力２０　命中率８０　重量９　６４０ＧＰ</a:t>
          </a:r>
          <a:br>
            <a:rPr lang="ja-JP" altLang="en-US"/>
          </a:br>
          <a:r>
            <a:rPr lang="ja-JP" altLang="en-US"/>
            <a:t>クレイモア（両）：攻撃力２８　命中率８０　重量１１　１２８０ＧＰ</a:t>
          </a:r>
          <a:br>
            <a:rPr lang="ja-JP" altLang="en-US"/>
          </a:br>
          <a:r>
            <a:rPr lang="ja-JP" altLang="en-US"/>
            <a:t>バトルアクス（両）：攻撃力３２　命中率７０　重量１４　２５６０ＧＰ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鎧</a:t>
          </a:r>
          <a:br>
            <a:rPr lang="ja-JP" altLang="en-US"/>
          </a:br>
          <a:br>
            <a:rPr lang="ja-JP" altLang="en-US"/>
          </a:br>
          <a:r>
            <a:rPr lang="ja-JP" altLang="en-US"/>
            <a:t>レザーアーマー：防御力２　重量８　４０ＧＰ</a:t>
          </a:r>
          <a:br>
            <a:rPr lang="ja-JP" altLang="en-US"/>
          </a:br>
          <a:r>
            <a:rPr lang="ja-JP" altLang="en-US"/>
            <a:t>ハウバーグ：防御力４　重量１０　１６０ＧＰ</a:t>
          </a:r>
          <a:br>
            <a:rPr lang="ja-JP" altLang="en-US"/>
          </a:br>
          <a:r>
            <a:rPr lang="ja-JP" altLang="en-US"/>
            <a:t>ハーフプレート：防御力８　重量１２　６４０ＧＰ</a:t>
          </a:r>
          <a:br>
            <a:rPr lang="ja-JP" altLang="en-US"/>
          </a:br>
          <a:r>
            <a:rPr lang="ja-JP" altLang="en-US"/>
            <a:t>フルプレート：防御力１２　重量２０　２５６０ＧＰ</a:t>
          </a:r>
          <a:br>
            <a:rPr lang="ja-JP" altLang="en-US"/>
          </a:br>
          <a:r>
            <a:rPr lang="ja-JP" altLang="en-US"/>
            <a:t>ダバード：防御力１６　重量２４　１０２４０ＧＰ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盾</a:t>
          </a:r>
          <a:br>
            <a:rPr lang="ja-JP" altLang="en-US"/>
          </a:br>
          <a:br>
            <a:rPr lang="ja-JP" altLang="en-US"/>
          </a:br>
          <a:r>
            <a:rPr lang="ja-JP" altLang="en-US"/>
            <a:t>バックラー：防御力２　回避率５　重量１　３０ＧＰ</a:t>
          </a:r>
          <a:br>
            <a:rPr lang="ja-JP" altLang="en-US"/>
          </a:br>
          <a:r>
            <a:rPr lang="ja-JP" altLang="en-US"/>
            <a:t>カイトシールド：防御力４　回避率１０　重量２　２７０ＧＰ</a:t>
          </a:r>
          <a:br>
            <a:rPr lang="ja-JP" altLang="en-US"/>
          </a:br>
          <a:r>
            <a:rPr lang="ja-JP" altLang="en-US"/>
            <a:t>タワーシールド：防御力８　回避率１５　重量７　２４３０ＧＰ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兜</a:t>
          </a:r>
          <a:br>
            <a:rPr lang="ja-JP" altLang="en-US"/>
          </a:br>
          <a:br>
            <a:rPr lang="ja-JP" altLang="en-US"/>
          </a:br>
          <a:r>
            <a:rPr lang="ja-JP" altLang="en-US"/>
            <a:t>チェーンコイフ：防御力２　重量１　４０ＧＰ</a:t>
          </a:r>
          <a:br>
            <a:rPr lang="ja-JP" altLang="en-US"/>
          </a:br>
          <a:r>
            <a:rPr lang="ja-JP" altLang="en-US"/>
            <a:t>ウィングヘルム：防御力４　重量３　３２０ＧＰ</a:t>
          </a:r>
          <a:br>
            <a:rPr lang="ja-JP" altLang="en-US"/>
          </a:br>
          <a:r>
            <a:rPr lang="ja-JP" altLang="en-US"/>
            <a:t>ホーンドヘルム：防御力８　重量７　２５６０ＧＰ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27"/>
    <tableColumn id="7" xr3:uid="{D3D787A4-ECBE-407D-8C94-3BAE5476965B}" uniqueName="7" name="isDoubleHand" queryTableFieldId="7" dataDxfId="26"/>
    <tableColumn id="10" xr3:uid="{8CBAE5A0-30BB-4143-A5FC-A1E9023A52F9}" uniqueName="10" name="isBlade" queryTableFieldId="17" dataDxfId="25"/>
    <tableColumn id="8" xr3:uid="{15DD08B4-8779-4593-8615-3EB53EEB4E03}" uniqueName="8" name="Price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3"/>
    <tableColumn id="2" xr3:uid="{180310E6-DDFB-4EB9-B20B-9FE0CB0F556D}" uniqueName="2" name=" BLT_X" queryTableFieldId="2" dataDxfId="22"/>
    <tableColumn id="3" xr3:uid="{6CED247C-861A-41BF-A01F-A70A4B4CFDEC}" uniqueName="3" name=" BLT_Y" queryTableFieldId="3" dataDxfId="21"/>
    <tableColumn id="4" xr3:uid="{B51726B4-41D4-466E-8B47-BE7D9B1F5588}" uniqueName="4" name=" BLT_W" queryTableFieldId="4" dataDxfId="20"/>
    <tableColumn id="5" xr3:uid="{9C1E4EB3-F964-4FA3-91D3-ADEC1C587B08}" uniqueName="5" name=" BLT_H" queryTableFieldId="5" dataDxfId="19"/>
    <tableColumn id="6" xr3:uid="{C7D33BB3-5650-4609-9F50-2B3C7EEAE919}" uniqueName="6" name="Armor" queryTableFieldId="6" dataDxfId="18"/>
    <tableColumn id="9" xr3:uid="{395E9484-FEB0-4F81-A760-22BA0C175294}" uniqueName="9" name="Weight" queryTableFieldId="16" dataDxfId="17"/>
    <tableColumn id="8" xr3:uid="{E24E9357-6439-4F84-82D7-5129641490D6}" uniqueName="8" name="Price" queryTableFieldId="8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workbookViewId="0">
      <selection activeCell="B3" sqref="B3"/>
    </sheetView>
  </sheetViews>
  <sheetFormatPr defaultRowHeight="18.75"/>
  <cols>
    <col min="1" max="1" width="15.5" bestFit="1" customWidth="1"/>
    <col min="2" max="2" width="5.5" style="6" customWidth="1"/>
    <col min="3" max="3" width="19.25" customWidth="1"/>
  </cols>
  <sheetData>
    <row r="1" spans="1:3">
      <c r="A1" s="9" t="s">
        <v>62</v>
      </c>
      <c r="B1" s="24" t="s">
        <v>180</v>
      </c>
      <c r="C1" s="25"/>
    </row>
    <row r="2" spans="1:3">
      <c r="A2" s="9" t="s">
        <v>61</v>
      </c>
      <c r="B2" s="24" t="s">
        <v>156</v>
      </c>
      <c r="C2" s="25"/>
    </row>
    <row r="3" spans="1:3">
      <c r="A3" s="9" t="s">
        <v>63</v>
      </c>
      <c r="B3" s="8">
        <v>8</v>
      </c>
      <c r="C3" s="7" t="str">
        <f>"(" &amp; IF(B3 = "", "NONE",VLOOKUP(B3,WEAPON!A2:B10,2,FALSE)) &amp; ")"</f>
        <v>(BATTLE AXE)</v>
      </c>
    </row>
    <row r="4" spans="1:3">
      <c r="A4" s="9" t="s">
        <v>64</v>
      </c>
      <c r="B4" s="8">
        <v>4</v>
      </c>
      <c r="C4" s="7" t="str">
        <f>"(" &amp; IF(B4="","NONE",VLOOKUP(B4,ARMOR!A2:B7,2,FALSE)) &amp; ")"</f>
        <v>(TABARD)</v>
      </c>
    </row>
    <row r="5" spans="1:3">
      <c r="A5" s="9" t="s">
        <v>65</v>
      </c>
      <c r="B5" s="8">
        <v>2</v>
      </c>
      <c r="C5" s="7" t="str">
        <f>"(" &amp; IF(B5="","NONE",VLOOKUP(B5,SHIELD!A2:B7,2,FALSE)) &amp; ")"</f>
        <v>(L SHIELD)</v>
      </c>
    </row>
    <row r="6" spans="1:3">
      <c r="A6" s="9" t="s">
        <v>66</v>
      </c>
      <c r="B6" s="8">
        <v>2</v>
      </c>
      <c r="C6" s="7" t="str">
        <f>"(" &amp; IF(B6="","NONE",VLOOKUP(B6,HELMET!A2:B7,2,FALSE)) &amp; ")"</f>
        <v>(HORNED HELM)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  <x14:dataValidation type="list" allowBlank="1" showInputMessage="1" showErrorMessage="1" xr:uid="{3388FC22-C70E-4427-87BA-C5BB0F42138B}">
          <x14:formula1>
            <xm:f>MONSTER!$B$2:$B$51</xm:f>
          </x14:formula1>
          <xm:sqref>B1:C1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/>
  <dimension ref="A1:AA69"/>
  <sheetViews>
    <sheetView tabSelected="1" zoomScale="90" zoomScaleNormal="90" workbookViewId="0">
      <pane ySplit="1" topLeftCell="A31" activePane="bottomLeft" state="frozen"/>
      <selection pane="bottomLeft" activeCell="A51" sqref="A51"/>
    </sheetView>
  </sheetViews>
  <sheetFormatPr defaultRowHeight="18.75"/>
  <cols>
    <col min="2" max="2" width="22.875" customWidth="1"/>
    <col min="3" max="3" width="24.625" customWidth="1"/>
    <col min="4" max="7" width="11.875" bestFit="1" customWidth="1"/>
    <col min="8" max="8" width="11.875" customWidth="1"/>
    <col min="9" max="9" width="11.875" bestFit="1" customWidth="1"/>
    <col min="10" max="10" width="12.125" bestFit="1" customWidth="1"/>
    <col min="11" max="11" width="11.875" bestFit="1" customWidth="1"/>
    <col min="12" max="12" width="12.375" bestFit="1" customWidth="1"/>
    <col min="13" max="17" width="13.125" bestFit="1" customWidth="1"/>
    <col min="18" max="26" width="6.125" customWidth="1"/>
  </cols>
  <sheetData>
    <row r="1" spans="1:27">
      <c r="B1" s="10" t="s">
        <v>23</v>
      </c>
      <c r="C1" s="14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157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137</v>
      </c>
      <c r="S1" s="15" t="s">
        <v>138</v>
      </c>
      <c r="T1" s="15" t="s">
        <v>139</v>
      </c>
      <c r="U1" s="15" t="s">
        <v>140</v>
      </c>
      <c r="V1" s="15" t="s">
        <v>141</v>
      </c>
      <c r="W1" s="15" t="s">
        <v>142</v>
      </c>
      <c r="X1" s="15" t="s">
        <v>143</v>
      </c>
      <c r="Y1" s="15" t="s">
        <v>179</v>
      </c>
      <c r="Z1" s="15" t="s">
        <v>144</v>
      </c>
      <c r="AA1" s="15" t="s">
        <v>136</v>
      </c>
    </row>
    <row r="2" spans="1:27" s="16" customFormat="1">
      <c r="A2" s="16">
        <v>1</v>
      </c>
      <c r="B2" s="17" t="s">
        <v>32</v>
      </c>
      <c r="C2" s="18" t="s">
        <v>18</v>
      </c>
      <c r="D2" s="18">
        <v>96</v>
      </c>
      <c r="E2" s="18">
        <v>0</v>
      </c>
      <c r="F2" s="18">
        <v>16</v>
      </c>
      <c r="G2" s="18">
        <v>16</v>
      </c>
      <c r="H2" s="18">
        <v>1</v>
      </c>
      <c r="I2" s="18">
        <v>4</v>
      </c>
      <c r="J2" s="18">
        <v>7</v>
      </c>
      <c r="K2" s="18">
        <v>1</v>
      </c>
      <c r="L2" s="18">
        <v>4</v>
      </c>
      <c r="M2" s="18">
        <v>2</v>
      </c>
      <c r="N2" s="18">
        <v>0</v>
      </c>
      <c r="O2" s="18">
        <v>3</v>
      </c>
      <c r="P2" s="18">
        <v>6</v>
      </c>
      <c r="Q2" s="18" t="b">
        <v>1</v>
      </c>
      <c r="R2" s="18" t="s">
        <v>145</v>
      </c>
      <c r="S2" s="18" t="s">
        <v>146</v>
      </c>
      <c r="T2" s="18" t="s">
        <v>146</v>
      </c>
      <c r="U2" s="18"/>
      <c r="V2" s="18"/>
      <c r="W2" s="18"/>
      <c r="X2" s="18"/>
      <c r="Y2" s="18"/>
      <c r="Z2" s="18"/>
      <c r="AA2" s="19"/>
    </row>
    <row r="3" spans="1:27" s="16" customFormat="1">
      <c r="A3" s="16">
        <v>2</v>
      </c>
      <c r="B3" s="17" t="s">
        <v>24</v>
      </c>
      <c r="C3" s="18" t="s">
        <v>14</v>
      </c>
      <c r="D3" s="18">
        <v>0</v>
      </c>
      <c r="E3" s="18">
        <v>0</v>
      </c>
      <c r="F3" s="18">
        <v>16</v>
      </c>
      <c r="G3" s="18">
        <v>8</v>
      </c>
      <c r="H3" s="18">
        <v>2</v>
      </c>
      <c r="I3" s="18">
        <v>2</v>
      </c>
      <c r="J3" s="18">
        <v>5</v>
      </c>
      <c r="K3" s="18">
        <v>1</v>
      </c>
      <c r="L3" s="18">
        <v>9</v>
      </c>
      <c r="M3" s="18">
        <v>2</v>
      </c>
      <c r="N3" s="18">
        <v>0</v>
      </c>
      <c r="O3" s="18">
        <v>3</v>
      </c>
      <c r="P3" s="18">
        <v>10</v>
      </c>
      <c r="Q3" s="18" t="b">
        <v>1</v>
      </c>
      <c r="R3" s="18"/>
      <c r="S3" s="18" t="s">
        <v>146</v>
      </c>
      <c r="T3" s="18" t="s">
        <v>146</v>
      </c>
      <c r="U3" s="18"/>
      <c r="V3" s="18"/>
      <c r="W3" s="18"/>
      <c r="X3" s="18"/>
      <c r="Y3" s="18"/>
      <c r="Z3" s="18"/>
      <c r="AA3" s="19"/>
    </row>
    <row r="4" spans="1:27" s="16" customFormat="1">
      <c r="A4" s="16">
        <v>3</v>
      </c>
      <c r="B4" s="17" t="s">
        <v>25</v>
      </c>
      <c r="C4" s="18" t="s">
        <v>14</v>
      </c>
      <c r="D4" s="18">
        <v>0</v>
      </c>
      <c r="E4" s="18">
        <v>0</v>
      </c>
      <c r="F4" s="18">
        <v>16</v>
      </c>
      <c r="G4" s="18">
        <v>8</v>
      </c>
      <c r="H4" s="18">
        <v>2</v>
      </c>
      <c r="I4" s="18">
        <v>2</v>
      </c>
      <c r="J4" s="18">
        <v>5</v>
      </c>
      <c r="K4" s="18">
        <v>1</v>
      </c>
      <c r="L4" s="18">
        <v>9</v>
      </c>
      <c r="M4" s="18">
        <v>2</v>
      </c>
      <c r="N4" s="18">
        <v>0</v>
      </c>
      <c r="O4" s="18">
        <v>5</v>
      </c>
      <c r="P4" s="18">
        <v>20</v>
      </c>
      <c r="Q4" s="18" t="b">
        <v>1</v>
      </c>
      <c r="R4" s="18"/>
      <c r="S4" s="18"/>
      <c r="T4" s="18"/>
      <c r="U4" s="18" t="s">
        <v>146</v>
      </c>
      <c r="V4" s="18"/>
      <c r="W4" s="18"/>
      <c r="X4" s="18"/>
      <c r="Y4" s="18"/>
      <c r="Z4" s="18"/>
      <c r="AA4" s="19"/>
    </row>
    <row r="5" spans="1:27" s="16" customFormat="1">
      <c r="A5" s="16">
        <v>4</v>
      </c>
      <c r="B5" s="17" t="s">
        <v>74</v>
      </c>
      <c r="C5" s="18" t="s">
        <v>73</v>
      </c>
      <c r="D5" s="18">
        <v>16</v>
      </c>
      <c r="E5" s="18">
        <v>0</v>
      </c>
      <c r="F5" s="18">
        <v>16</v>
      </c>
      <c r="G5" s="18">
        <v>16</v>
      </c>
      <c r="H5" s="18">
        <v>2</v>
      </c>
      <c r="I5" s="18">
        <v>6</v>
      </c>
      <c r="J5" s="18">
        <v>9</v>
      </c>
      <c r="K5" s="18">
        <v>4</v>
      </c>
      <c r="L5" s="18">
        <v>3</v>
      </c>
      <c r="M5" s="18">
        <v>3</v>
      </c>
      <c r="N5" s="18">
        <v>20</v>
      </c>
      <c r="O5" s="18">
        <v>5</v>
      </c>
      <c r="P5" s="18">
        <v>8</v>
      </c>
      <c r="Q5" s="18" t="b">
        <v>1</v>
      </c>
      <c r="R5" s="18"/>
      <c r="S5" s="18"/>
      <c r="T5" s="18" t="s">
        <v>146</v>
      </c>
      <c r="U5" s="18"/>
      <c r="V5" s="18"/>
      <c r="W5" s="18"/>
      <c r="X5" s="18"/>
      <c r="Y5" s="18"/>
      <c r="Z5" s="18"/>
      <c r="AA5" s="19"/>
    </row>
    <row r="6" spans="1:27" s="16" customFormat="1">
      <c r="A6" s="16">
        <v>5</v>
      </c>
      <c r="B6" s="17" t="s">
        <v>75</v>
      </c>
      <c r="C6" s="18" t="s">
        <v>73</v>
      </c>
      <c r="D6" s="18">
        <v>16</v>
      </c>
      <c r="E6" s="18">
        <v>0</v>
      </c>
      <c r="F6" s="18">
        <v>16</v>
      </c>
      <c r="G6" s="18">
        <v>16</v>
      </c>
      <c r="H6" s="18">
        <v>2</v>
      </c>
      <c r="I6" s="18">
        <v>6</v>
      </c>
      <c r="J6" s="18">
        <v>9</v>
      </c>
      <c r="K6" s="18">
        <v>4</v>
      </c>
      <c r="L6" s="18">
        <v>3</v>
      </c>
      <c r="M6" s="18">
        <v>3</v>
      </c>
      <c r="N6" s="18">
        <v>20</v>
      </c>
      <c r="O6" s="18">
        <v>7</v>
      </c>
      <c r="P6" s="18">
        <v>15</v>
      </c>
      <c r="Q6" s="18" t="b">
        <v>1</v>
      </c>
      <c r="R6" s="18"/>
      <c r="S6" s="18"/>
      <c r="T6" s="18"/>
      <c r="U6" s="18" t="s">
        <v>146</v>
      </c>
      <c r="V6" s="18"/>
      <c r="W6" s="18"/>
      <c r="X6" s="18"/>
      <c r="Y6" s="18"/>
      <c r="Z6" s="18"/>
      <c r="AA6" s="19"/>
    </row>
    <row r="7" spans="1:27" s="16" customFormat="1">
      <c r="A7" s="16">
        <v>6</v>
      </c>
      <c r="B7" s="20" t="s">
        <v>26</v>
      </c>
      <c r="C7" s="18" t="s">
        <v>15</v>
      </c>
      <c r="D7" s="18">
        <v>48</v>
      </c>
      <c r="E7" s="18">
        <v>0</v>
      </c>
      <c r="F7" s="18">
        <v>16</v>
      </c>
      <c r="G7" s="18">
        <v>16</v>
      </c>
      <c r="H7" s="18">
        <v>1</v>
      </c>
      <c r="I7" s="18">
        <v>8</v>
      </c>
      <c r="J7" s="18">
        <v>9</v>
      </c>
      <c r="K7" s="18">
        <v>2</v>
      </c>
      <c r="L7" s="18">
        <v>2</v>
      </c>
      <c r="M7" s="18">
        <v>2</v>
      </c>
      <c r="N7" s="18">
        <v>0</v>
      </c>
      <c r="O7" s="18">
        <v>2</v>
      </c>
      <c r="P7" s="18">
        <v>5</v>
      </c>
      <c r="Q7" s="18" t="b">
        <v>0</v>
      </c>
      <c r="R7" s="18" t="s">
        <v>145</v>
      </c>
      <c r="S7" s="18" t="s">
        <v>145</v>
      </c>
      <c r="T7" s="18" t="s">
        <v>145</v>
      </c>
      <c r="U7" s="18"/>
      <c r="V7" s="18"/>
      <c r="W7" s="18"/>
      <c r="X7" s="18"/>
      <c r="Y7" s="18"/>
      <c r="Z7" s="18"/>
      <c r="AA7" s="19"/>
    </row>
    <row r="8" spans="1:27" s="16" customFormat="1">
      <c r="A8" s="16">
        <v>7</v>
      </c>
      <c r="B8" s="21" t="s">
        <v>27</v>
      </c>
      <c r="C8" s="18" t="s">
        <v>15</v>
      </c>
      <c r="D8" s="18">
        <v>48</v>
      </c>
      <c r="E8" s="18">
        <v>0</v>
      </c>
      <c r="F8" s="18">
        <v>16</v>
      </c>
      <c r="G8" s="18">
        <v>16</v>
      </c>
      <c r="H8" s="18">
        <v>1</v>
      </c>
      <c r="I8" s="18">
        <v>8</v>
      </c>
      <c r="J8" s="18">
        <v>9</v>
      </c>
      <c r="K8" s="18">
        <v>2</v>
      </c>
      <c r="L8" s="18">
        <v>2</v>
      </c>
      <c r="M8" s="18">
        <v>2</v>
      </c>
      <c r="N8" s="18">
        <v>0</v>
      </c>
      <c r="O8" s="18">
        <v>4</v>
      </c>
      <c r="P8" s="18">
        <v>12</v>
      </c>
      <c r="Q8" s="18" t="b">
        <v>0</v>
      </c>
      <c r="R8" s="18"/>
      <c r="S8" s="18"/>
      <c r="T8" s="18"/>
      <c r="U8" s="18" t="s">
        <v>146</v>
      </c>
      <c r="V8" s="18"/>
      <c r="W8" s="18"/>
      <c r="X8" s="18"/>
      <c r="Y8" s="18"/>
      <c r="Z8" s="18"/>
      <c r="AA8" s="19"/>
    </row>
    <row r="9" spans="1:27" s="16" customFormat="1">
      <c r="A9" s="16">
        <v>8</v>
      </c>
      <c r="B9" s="17" t="s">
        <v>76</v>
      </c>
      <c r="C9" s="18" t="s">
        <v>77</v>
      </c>
      <c r="D9" s="18">
        <v>32</v>
      </c>
      <c r="E9" s="18">
        <v>0</v>
      </c>
      <c r="F9" s="18">
        <v>16</v>
      </c>
      <c r="G9" s="18">
        <v>16</v>
      </c>
      <c r="H9" s="18">
        <v>2</v>
      </c>
      <c r="I9" s="18">
        <v>4</v>
      </c>
      <c r="J9" s="18">
        <v>7</v>
      </c>
      <c r="K9" s="18">
        <v>3</v>
      </c>
      <c r="L9" s="18">
        <v>2</v>
      </c>
      <c r="M9" s="18">
        <v>2</v>
      </c>
      <c r="N9" s="18">
        <v>15</v>
      </c>
      <c r="O9" s="18">
        <v>3</v>
      </c>
      <c r="P9" s="18">
        <v>5</v>
      </c>
      <c r="Q9" s="18" t="b">
        <v>0</v>
      </c>
      <c r="R9" s="18"/>
      <c r="S9" s="18" t="s">
        <v>145</v>
      </c>
      <c r="T9" s="18" t="s">
        <v>146</v>
      </c>
      <c r="U9" s="18"/>
      <c r="V9" s="18"/>
      <c r="W9" s="18"/>
      <c r="X9" s="18"/>
      <c r="Y9" s="18"/>
      <c r="Z9" s="18"/>
      <c r="AA9" s="19"/>
    </row>
    <row r="10" spans="1:27" s="16" customFormat="1">
      <c r="A10" s="16">
        <v>9</v>
      </c>
      <c r="B10" s="17" t="s">
        <v>78</v>
      </c>
      <c r="C10" s="18" t="s">
        <v>77</v>
      </c>
      <c r="D10" s="18">
        <v>32</v>
      </c>
      <c r="E10" s="18">
        <v>0</v>
      </c>
      <c r="F10" s="18">
        <v>16</v>
      </c>
      <c r="G10" s="18">
        <v>16</v>
      </c>
      <c r="H10" s="18">
        <v>2</v>
      </c>
      <c r="I10" s="18">
        <v>4</v>
      </c>
      <c r="J10" s="18">
        <v>7</v>
      </c>
      <c r="K10" s="18">
        <v>3</v>
      </c>
      <c r="L10" s="18">
        <v>2</v>
      </c>
      <c r="M10" s="18">
        <v>2</v>
      </c>
      <c r="N10" s="18">
        <v>15</v>
      </c>
      <c r="O10" s="18">
        <v>4</v>
      </c>
      <c r="P10" s="18">
        <v>12</v>
      </c>
      <c r="Q10" s="18" t="b">
        <v>0</v>
      </c>
      <c r="R10" s="18"/>
      <c r="S10" s="18"/>
      <c r="T10" s="18"/>
      <c r="U10" s="18" t="s">
        <v>146</v>
      </c>
      <c r="V10" s="18"/>
      <c r="W10" s="18"/>
      <c r="X10" s="18"/>
      <c r="Y10" s="18"/>
      <c r="Z10" s="18"/>
      <c r="AA10" s="19"/>
    </row>
    <row r="11" spans="1:27" s="22" customFormat="1">
      <c r="A11" s="22">
        <v>10</v>
      </c>
      <c r="B11" s="21" t="s">
        <v>29</v>
      </c>
      <c r="C11" s="18" t="s">
        <v>17</v>
      </c>
      <c r="D11" s="18">
        <v>80</v>
      </c>
      <c r="E11" s="18">
        <v>0</v>
      </c>
      <c r="F11" s="18">
        <v>16</v>
      </c>
      <c r="G11" s="18">
        <v>16</v>
      </c>
      <c r="H11" s="18">
        <v>3</v>
      </c>
      <c r="I11" s="18">
        <v>8</v>
      </c>
      <c r="J11" s="18">
        <v>9</v>
      </c>
      <c r="K11" s="18">
        <v>6</v>
      </c>
      <c r="L11" s="18">
        <v>5</v>
      </c>
      <c r="M11" s="18">
        <v>5</v>
      </c>
      <c r="N11" s="18">
        <v>40</v>
      </c>
      <c r="O11" s="18">
        <v>5</v>
      </c>
      <c r="P11" s="18">
        <v>10</v>
      </c>
      <c r="Q11" s="18" t="b">
        <v>1</v>
      </c>
      <c r="R11" s="18"/>
      <c r="S11" s="18"/>
      <c r="T11" s="18" t="s">
        <v>146</v>
      </c>
      <c r="U11" s="18"/>
      <c r="V11" s="18"/>
      <c r="W11" s="18"/>
      <c r="X11" s="18"/>
      <c r="Y11" s="18"/>
      <c r="Z11" s="18"/>
      <c r="AA11" s="19"/>
    </row>
    <row r="12" spans="1:27" s="22" customFormat="1">
      <c r="A12" s="22">
        <v>11</v>
      </c>
      <c r="B12" s="21" t="s">
        <v>31</v>
      </c>
      <c r="C12" s="18" t="s">
        <v>17</v>
      </c>
      <c r="D12" s="18">
        <v>80</v>
      </c>
      <c r="E12" s="18">
        <v>0</v>
      </c>
      <c r="F12" s="18">
        <v>16</v>
      </c>
      <c r="G12" s="18">
        <v>16</v>
      </c>
      <c r="H12" s="18">
        <v>3</v>
      </c>
      <c r="I12" s="18">
        <v>8</v>
      </c>
      <c r="J12" s="18">
        <v>9</v>
      </c>
      <c r="K12" s="18">
        <v>5</v>
      </c>
      <c r="L12" s="18">
        <v>5</v>
      </c>
      <c r="M12" s="18">
        <v>5</v>
      </c>
      <c r="N12" s="18">
        <v>40</v>
      </c>
      <c r="O12" s="18">
        <v>7</v>
      </c>
      <c r="P12" s="18">
        <v>15</v>
      </c>
      <c r="Q12" s="18" t="b">
        <v>1</v>
      </c>
      <c r="R12" s="18"/>
      <c r="S12" s="18"/>
      <c r="T12" s="18"/>
      <c r="U12" s="18" t="s">
        <v>146</v>
      </c>
      <c r="V12" s="18"/>
      <c r="W12" s="18"/>
      <c r="X12" s="18"/>
      <c r="Y12" s="18"/>
      <c r="Z12" s="18"/>
      <c r="AA12" s="19"/>
    </row>
    <row r="13" spans="1:27" s="22" customFormat="1">
      <c r="A13" s="22">
        <v>12</v>
      </c>
      <c r="B13" s="21" t="s">
        <v>28</v>
      </c>
      <c r="C13" s="18" t="s">
        <v>16</v>
      </c>
      <c r="D13" s="18">
        <v>64</v>
      </c>
      <c r="E13" s="18">
        <v>0</v>
      </c>
      <c r="F13" s="18">
        <v>16</v>
      </c>
      <c r="G13" s="18">
        <v>16</v>
      </c>
      <c r="H13" s="18">
        <v>3</v>
      </c>
      <c r="I13" s="18">
        <v>7</v>
      </c>
      <c r="J13" s="18">
        <v>12</v>
      </c>
      <c r="K13" s="18">
        <v>4</v>
      </c>
      <c r="L13" s="18">
        <v>5</v>
      </c>
      <c r="M13" s="18">
        <v>4</v>
      </c>
      <c r="N13" s="18">
        <v>60</v>
      </c>
      <c r="O13" s="18">
        <v>2</v>
      </c>
      <c r="P13" s="18">
        <v>5</v>
      </c>
      <c r="Q13" s="18" t="b">
        <v>1</v>
      </c>
      <c r="R13" s="18"/>
      <c r="S13" s="18"/>
      <c r="T13" s="18" t="s">
        <v>146</v>
      </c>
      <c r="U13" s="18"/>
      <c r="V13" s="18"/>
      <c r="W13" s="18"/>
      <c r="X13" s="18"/>
      <c r="Y13" s="18"/>
      <c r="Z13" s="18"/>
      <c r="AA13" s="19"/>
    </row>
    <row r="14" spans="1:27" s="22" customFormat="1">
      <c r="A14" s="22">
        <v>13</v>
      </c>
      <c r="B14" s="21" t="s">
        <v>30</v>
      </c>
      <c r="C14" s="18" t="s">
        <v>16</v>
      </c>
      <c r="D14" s="18">
        <v>64</v>
      </c>
      <c r="E14" s="18">
        <v>0</v>
      </c>
      <c r="F14" s="18">
        <v>16</v>
      </c>
      <c r="G14" s="18">
        <v>16</v>
      </c>
      <c r="H14" s="18">
        <v>3</v>
      </c>
      <c r="I14" s="18">
        <v>9</v>
      </c>
      <c r="J14" s="18">
        <v>12</v>
      </c>
      <c r="K14" s="18">
        <v>4</v>
      </c>
      <c r="L14" s="18">
        <v>5</v>
      </c>
      <c r="M14" s="18">
        <v>4</v>
      </c>
      <c r="N14" s="18">
        <v>60</v>
      </c>
      <c r="O14" s="18">
        <v>5</v>
      </c>
      <c r="P14" s="18">
        <v>8</v>
      </c>
      <c r="Q14" s="18" t="b">
        <v>1</v>
      </c>
      <c r="R14" s="18"/>
      <c r="S14" s="18"/>
      <c r="T14" s="18"/>
      <c r="U14" s="18" t="s">
        <v>146</v>
      </c>
      <c r="V14" s="18"/>
      <c r="W14" s="18"/>
      <c r="X14" s="18"/>
      <c r="Y14" s="18"/>
      <c r="Z14" s="18"/>
      <c r="AA14" s="19"/>
    </row>
    <row r="15" spans="1:27" s="22" customFormat="1">
      <c r="A15" s="22">
        <v>14</v>
      </c>
      <c r="B15" s="21" t="s">
        <v>33</v>
      </c>
      <c r="C15" s="18" t="s">
        <v>19</v>
      </c>
      <c r="D15" s="18">
        <v>112</v>
      </c>
      <c r="E15" s="18">
        <v>0</v>
      </c>
      <c r="F15" s="18">
        <v>16</v>
      </c>
      <c r="G15" s="18">
        <v>16</v>
      </c>
      <c r="H15" s="18">
        <v>3</v>
      </c>
      <c r="I15" s="18">
        <v>12</v>
      </c>
      <c r="J15" s="18">
        <v>15</v>
      </c>
      <c r="K15" s="18">
        <v>4</v>
      </c>
      <c r="L15" s="18">
        <v>4</v>
      </c>
      <c r="M15" s="18">
        <v>3</v>
      </c>
      <c r="N15" s="18">
        <v>0</v>
      </c>
      <c r="O15" s="18">
        <v>1</v>
      </c>
      <c r="P15" s="18">
        <v>2</v>
      </c>
      <c r="Q15" s="18" t="b">
        <v>1</v>
      </c>
      <c r="R15" s="18"/>
      <c r="S15" s="18"/>
      <c r="T15" s="18" t="s">
        <v>146</v>
      </c>
      <c r="U15" s="18"/>
      <c r="V15" s="18"/>
      <c r="W15" s="18"/>
      <c r="X15" s="18"/>
      <c r="Y15" s="18"/>
      <c r="Z15" s="18"/>
      <c r="AA15" s="19"/>
    </row>
    <row r="16" spans="1:27" s="22" customFormat="1">
      <c r="A16" s="22">
        <v>15</v>
      </c>
      <c r="B16" s="21" t="s">
        <v>35</v>
      </c>
      <c r="C16" s="18" t="s">
        <v>19</v>
      </c>
      <c r="D16" s="18">
        <v>112</v>
      </c>
      <c r="E16" s="18">
        <v>0</v>
      </c>
      <c r="F16" s="18">
        <v>16</v>
      </c>
      <c r="G16" s="18">
        <v>16</v>
      </c>
      <c r="H16" s="18">
        <v>3</v>
      </c>
      <c r="I16" s="18">
        <v>18</v>
      </c>
      <c r="J16" s="18">
        <v>15</v>
      </c>
      <c r="K16" s="18">
        <v>4</v>
      </c>
      <c r="L16" s="18">
        <v>4</v>
      </c>
      <c r="M16" s="18">
        <v>3</v>
      </c>
      <c r="N16" s="18">
        <v>0</v>
      </c>
      <c r="O16" s="18">
        <v>2</v>
      </c>
      <c r="P16" s="18">
        <v>5</v>
      </c>
      <c r="Q16" s="18" t="b">
        <v>1</v>
      </c>
      <c r="R16" s="18"/>
      <c r="S16" s="18"/>
      <c r="T16" s="18"/>
      <c r="U16" s="18" t="s">
        <v>146</v>
      </c>
      <c r="V16" s="18"/>
      <c r="W16" s="18"/>
      <c r="X16" s="18"/>
      <c r="Y16" s="18"/>
      <c r="Z16" s="18"/>
      <c r="AA16" s="19"/>
    </row>
    <row r="17" spans="1:27" s="22" customFormat="1">
      <c r="A17" s="22">
        <v>16</v>
      </c>
      <c r="B17" s="21" t="s">
        <v>79</v>
      </c>
      <c r="C17" s="18" t="s">
        <v>81</v>
      </c>
      <c r="D17" s="18">
        <v>192</v>
      </c>
      <c r="E17" s="18">
        <v>0</v>
      </c>
      <c r="F17" s="18">
        <v>16</v>
      </c>
      <c r="G17" s="18">
        <v>16</v>
      </c>
      <c r="H17" s="18">
        <v>4</v>
      </c>
      <c r="I17" s="18">
        <v>12</v>
      </c>
      <c r="J17" s="18">
        <v>13</v>
      </c>
      <c r="K17" s="18">
        <v>10</v>
      </c>
      <c r="L17" s="18">
        <v>5</v>
      </c>
      <c r="M17" s="18">
        <v>6</v>
      </c>
      <c r="N17" s="18">
        <v>0</v>
      </c>
      <c r="O17" s="18">
        <v>2</v>
      </c>
      <c r="P17" s="18">
        <v>5</v>
      </c>
      <c r="Q17" s="18" t="b">
        <v>0</v>
      </c>
      <c r="R17" s="18"/>
      <c r="S17" s="18"/>
      <c r="T17" s="18"/>
      <c r="U17" s="18" t="s">
        <v>146</v>
      </c>
      <c r="V17" s="18"/>
      <c r="W17" s="18"/>
      <c r="X17" s="18"/>
      <c r="Y17" s="18"/>
      <c r="Z17" s="18"/>
      <c r="AA17" s="19"/>
    </row>
    <row r="18" spans="1:27" s="22" customFormat="1">
      <c r="A18" s="22">
        <v>17</v>
      </c>
      <c r="B18" s="21" t="s">
        <v>80</v>
      </c>
      <c r="C18" s="18" t="s">
        <v>81</v>
      </c>
      <c r="D18" s="18">
        <v>192</v>
      </c>
      <c r="E18" s="18">
        <v>0</v>
      </c>
      <c r="F18" s="18">
        <v>16</v>
      </c>
      <c r="G18" s="18">
        <v>16</v>
      </c>
      <c r="H18" s="18">
        <v>4</v>
      </c>
      <c r="I18" s="18">
        <v>12</v>
      </c>
      <c r="J18" s="18">
        <v>13</v>
      </c>
      <c r="K18" s="18">
        <v>10</v>
      </c>
      <c r="L18" s="18">
        <v>5</v>
      </c>
      <c r="M18" s="18">
        <v>6</v>
      </c>
      <c r="N18" s="18">
        <v>0</v>
      </c>
      <c r="O18" s="18">
        <v>4</v>
      </c>
      <c r="P18" s="18">
        <v>10</v>
      </c>
      <c r="Q18" s="18" t="b">
        <v>0</v>
      </c>
      <c r="R18" s="18"/>
      <c r="S18" s="18"/>
      <c r="T18" s="18"/>
      <c r="U18" s="18"/>
      <c r="V18" s="18" t="s">
        <v>146</v>
      </c>
      <c r="W18" s="18"/>
      <c r="X18" s="18"/>
      <c r="Y18" s="18"/>
      <c r="Z18" s="18"/>
      <c r="AA18" s="19"/>
    </row>
    <row r="19" spans="1:27" s="22" customFormat="1">
      <c r="A19" s="22">
        <v>18</v>
      </c>
      <c r="B19" s="21" t="s">
        <v>82</v>
      </c>
      <c r="C19" s="21" t="s">
        <v>83</v>
      </c>
      <c r="D19" s="18">
        <v>176</v>
      </c>
      <c r="E19" s="18">
        <v>0</v>
      </c>
      <c r="F19" s="18">
        <v>16</v>
      </c>
      <c r="G19" s="18">
        <v>16</v>
      </c>
      <c r="H19" s="18">
        <v>4</v>
      </c>
      <c r="I19" s="18">
        <v>16</v>
      </c>
      <c r="J19" s="18">
        <v>16</v>
      </c>
      <c r="K19" s="18">
        <v>12</v>
      </c>
      <c r="L19" s="18">
        <v>6</v>
      </c>
      <c r="M19" s="18">
        <v>7</v>
      </c>
      <c r="N19" s="18">
        <v>100</v>
      </c>
      <c r="O19" s="18">
        <v>3</v>
      </c>
      <c r="P19" s="18">
        <v>6</v>
      </c>
      <c r="Q19" s="18" t="b">
        <v>1</v>
      </c>
      <c r="R19" s="18"/>
      <c r="S19" s="18"/>
      <c r="T19" s="18"/>
      <c r="U19" s="18" t="s">
        <v>146</v>
      </c>
      <c r="V19" s="18"/>
      <c r="W19" s="18"/>
      <c r="X19" s="18"/>
      <c r="Y19" s="18"/>
      <c r="Z19" s="18"/>
      <c r="AA19" s="19"/>
    </row>
    <row r="20" spans="1:27" s="22" customFormat="1">
      <c r="A20" s="22">
        <v>19</v>
      </c>
      <c r="B20" s="21" t="s">
        <v>84</v>
      </c>
      <c r="C20" s="21" t="s">
        <v>83</v>
      </c>
      <c r="D20" s="18">
        <v>176</v>
      </c>
      <c r="E20" s="18">
        <v>0</v>
      </c>
      <c r="F20" s="18">
        <v>16</v>
      </c>
      <c r="G20" s="18">
        <v>16</v>
      </c>
      <c r="H20" s="18">
        <v>4</v>
      </c>
      <c r="I20" s="18">
        <v>16</v>
      </c>
      <c r="J20" s="18">
        <v>16</v>
      </c>
      <c r="K20" s="18">
        <v>12</v>
      </c>
      <c r="L20" s="18">
        <v>6</v>
      </c>
      <c r="M20" s="18">
        <v>7</v>
      </c>
      <c r="N20" s="18">
        <v>100</v>
      </c>
      <c r="O20" s="18">
        <v>4</v>
      </c>
      <c r="P20" s="18">
        <v>10</v>
      </c>
      <c r="Q20" s="18" t="b">
        <v>1</v>
      </c>
      <c r="R20" s="18"/>
      <c r="S20" s="18"/>
      <c r="T20" s="18"/>
      <c r="U20" s="18"/>
      <c r="V20" s="18" t="s">
        <v>146</v>
      </c>
      <c r="W20" s="18"/>
      <c r="X20" s="18"/>
      <c r="Y20" s="18"/>
      <c r="Z20" s="18"/>
      <c r="AA20" s="19"/>
    </row>
    <row r="21" spans="1:27" s="22" customFormat="1">
      <c r="A21" s="22">
        <v>20</v>
      </c>
      <c r="B21" s="21" t="s">
        <v>34</v>
      </c>
      <c r="C21" s="18" t="s">
        <v>20</v>
      </c>
      <c r="D21" s="18">
        <v>128</v>
      </c>
      <c r="E21" s="18">
        <v>0</v>
      </c>
      <c r="F21" s="18">
        <v>16</v>
      </c>
      <c r="G21" s="18">
        <v>16</v>
      </c>
      <c r="H21" s="18">
        <v>4</v>
      </c>
      <c r="I21" s="18">
        <v>24</v>
      </c>
      <c r="J21" s="18">
        <v>20</v>
      </c>
      <c r="K21" s="18">
        <v>13</v>
      </c>
      <c r="L21" s="18">
        <v>4</v>
      </c>
      <c r="M21" s="18">
        <v>8</v>
      </c>
      <c r="N21" s="18">
        <v>0</v>
      </c>
      <c r="O21" s="18">
        <v>2</v>
      </c>
      <c r="P21" s="18">
        <v>5</v>
      </c>
      <c r="Q21" s="18" t="b">
        <v>0</v>
      </c>
      <c r="R21" s="18"/>
      <c r="S21" s="18"/>
      <c r="T21" s="18"/>
      <c r="U21" s="18"/>
      <c r="V21" s="18" t="s">
        <v>146</v>
      </c>
      <c r="W21" s="18"/>
      <c r="X21" s="18"/>
      <c r="Y21" s="18"/>
      <c r="Z21" s="18"/>
      <c r="AA21" s="19"/>
    </row>
    <row r="22" spans="1:27" s="22" customFormat="1">
      <c r="A22" s="22">
        <v>21</v>
      </c>
      <c r="B22" s="21" t="s">
        <v>36</v>
      </c>
      <c r="C22" s="18" t="s">
        <v>20</v>
      </c>
      <c r="D22" s="18">
        <v>128</v>
      </c>
      <c r="E22" s="18">
        <v>0</v>
      </c>
      <c r="F22" s="18">
        <v>16</v>
      </c>
      <c r="G22" s="18">
        <v>16</v>
      </c>
      <c r="H22" s="18">
        <v>5</v>
      </c>
      <c r="I22" s="18">
        <v>24</v>
      </c>
      <c r="J22" s="18">
        <v>20</v>
      </c>
      <c r="K22" s="18">
        <v>13</v>
      </c>
      <c r="L22" s="18">
        <v>4</v>
      </c>
      <c r="M22" s="18">
        <v>8</v>
      </c>
      <c r="N22" s="18">
        <v>0</v>
      </c>
      <c r="O22" s="18">
        <v>4</v>
      </c>
      <c r="P22" s="18">
        <v>6</v>
      </c>
      <c r="Q22" s="18" t="b">
        <v>0</v>
      </c>
      <c r="R22" s="18"/>
      <c r="S22" s="18"/>
      <c r="T22" s="18"/>
      <c r="U22" s="18"/>
      <c r="V22" s="18"/>
      <c r="W22" s="18" t="s">
        <v>146</v>
      </c>
      <c r="X22" s="18"/>
      <c r="Y22" s="18"/>
      <c r="Z22" s="18"/>
      <c r="AA22" s="19"/>
    </row>
    <row r="23" spans="1:27" s="22" customFormat="1">
      <c r="A23" s="22">
        <v>22</v>
      </c>
      <c r="B23" s="21" t="s">
        <v>37</v>
      </c>
      <c r="C23" s="18" t="s">
        <v>21</v>
      </c>
      <c r="D23" s="18">
        <v>144</v>
      </c>
      <c r="E23" s="18">
        <v>0</v>
      </c>
      <c r="F23" s="18">
        <v>16</v>
      </c>
      <c r="G23" s="18">
        <v>16</v>
      </c>
      <c r="H23" s="18">
        <v>5</v>
      </c>
      <c r="I23" s="18">
        <v>20</v>
      </c>
      <c r="J23" s="18">
        <v>22</v>
      </c>
      <c r="K23" s="18">
        <v>16</v>
      </c>
      <c r="L23" s="18">
        <v>8</v>
      </c>
      <c r="M23" s="18">
        <v>7</v>
      </c>
      <c r="N23" s="18">
        <v>0</v>
      </c>
      <c r="O23" s="18">
        <v>1</v>
      </c>
      <c r="P23" s="18">
        <v>2</v>
      </c>
      <c r="Q23" s="18" t="b">
        <v>1</v>
      </c>
      <c r="R23" s="18"/>
      <c r="S23" s="18"/>
      <c r="T23" s="18"/>
      <c r="U23" s="18"/>
      <c r="V23" s="18" t="s">
        <v>146</v>
      </c>
      <c r="W23" s="18"/>
      <c r="X23" s="18"/>
      <c r="Y23" s="18"/>
      <c r="Z23" s="18"/>
      <c r="AA23" s="19" t="s">
        <v>132</v>
      </c>
    </row>
    <row r="24" spans="1:27" s="22" customFormat="1">
      <c r="A24" s="22">
        <v>23</v>
      </c>
      <c r="B24" s="21" t="s">
        <v>148</v>
      </c>
      <c r="C24" s="18" t="s">
        <v>21</v>
      </c>
      <c r="D24" s="18">
        <v>144</v>
      </c>
      <c r="E24" s="18">
        <v>0</v>
      </c>
      <c r="F24" s="18">
        <v>16</v>
      </c>
      <c r="G24" s="18">
        <v>16</v>
      </c>
      <c r="H24" s="18">
        <v>5</v>
      </c>
      <c r="I24" s="18">
        <v>20</v>
      </c>
      <c r="J24" s="18">
        <v>22</v>
      </c>
      <c r="K24" s="18">
        <v>16</v>
      </c>
      <c r="L24" s="18">
        <v>8</v>
      </c>
      <c r="M24" s="18">
        <v>7</v>
      </c>
      <c r="N24" s="18">
        <v>0</v>
      </c>
      <c r="O24" s="18">
        <v>2</v>
      </c>
      <c r="P24" s="18">
        <v>4</v>
      </c>
      <c r="Q24" s="18" t="b">
        <v>1</v>
      </c>
      <c r="R24" s="18"/>
      <c r="S24" s="18"/>
      <c r="T24" s="18"/>
      <c r="U24" s="18"/>
      <c r="V24" s="18"/>
      <c r="W24" s="18" t="s">
        <v>146</v>
      </c>
      <c r="X24" s="18"/>
      <c r="Y24" s="18"/>
      <c r="Z24" s="18"/>
      <c r="AA24" s="19" t="s">
        <v>132</v>
      </c>
    </row>
    <row r="25" spans="1:27" s="22" customFormat="1">
      <c r="A25" s="22">
        <v>24</v>
      </c>
      <c r="B25" s="21" t="s">
        <v>149</v>
      </c>
      <c r="C25" s="18" t="s">
        <v>21</v>
      </c>
      <c r="D25" s="18">
        <v>144</v>
      </c>
      <c r="E25" s="18">
        <v>0</v>
      </c>
      <c r="F25" s="18">
        <v>16</v>
      </c>
      <c r="G25" s="18">
        <v>16</v>
      </c>
      <c r="H25" s="18">
        <v>5</v>
      </c>
      <c r="I25" s="18">
        <v>20</v>
      </c>
      <c r="J25" s="18">
        <v>22</v>
      </c>
      <c r="K25" s="18">
        <v>16</v>
      </c>
      <c r="L25" s="18">
        <v>8</v>
      </c>
      <c r="M25" s="18">
        <v>7</v>
      </c>
      <c r="N25" s="18">
        <v>0</v>
      </c>
      <c r="O25" s="18">
        <v>4</v>
      </c>
      <c r="P25" s="18">
        <v>6</v>
      </c>
      <c r="Q25" s="18" t="b">
        <v>1</v>
      </c>
      <c r="R25" s="18"/>
      <c r="S25" s="18"/>
      <c r="T25" s="18"/>
      <c r="U25" s="18"/>
      <c r="V25" s="18"/>
      <c r="W25" s="18"/>
      <c r="X25" s="18" t="s">
        <v>146</v>
      </c>
      <c r="Y25" s="18"/>
      <c r="Z25" s="18"/>
      <c r="AA25" s="19" t="s">
        <v>132</v>
      </c>
    </row>
    <row r="26" spans="1:27" s="22" customFormat="1">
      <c r="A26" s="22">
        <v>25</v>
      </c>
      <c r="B26" s="23" t="s">
        <v>38</v>
      </c>
      <c r="C26" s="18" t="s">
        <v>22</v>
      </c>
      <c r="D26" s="18">
        <v>160</v>
      </c>
      <c r="E26" s="18">
        <v>0</v>
      </c>
      <c r="F26" s="18">
        <v>16</v>
      </c>
      <c r="G26" s="18">
        <v>16</v>
      </c>
      <c r="H26" s="18">
        <v>5</v>
      </c>
      <c r="I26" s="18">
        <v>13</v>
      </c>
      <c r="J26" s="18">
        <v>20</v>
      </c>
      <c r="K26" s="18">
        <v>20</v>
      </c>
      <c r="L26" s="18">
        <v>7</v>
      </c>
      <c r="M26" s="18">
        <v>8</v>
      </c>
      <c r="N26" s="18">
        <v>180</v>
      </c>
      <c r="O26" s="18">
        <v>2</v>
      </c>
      <c r="P26" s="18">
        <v>5</v>
      </c>
      <c r="Q26" s="18" t="b">
        <v>0</v>
      </c>
      <c r="R26" s="18"/>
      <c r="S26" s="18"/>
      <c r="T26" s="18"/>
      <c r="U26" s="18"/>
      <c r="V26" s="18" t="s">
        <v>146</v>
      </c>
      <c r="W26" s="18"/>
      <c r="X26" s="18"/>
      <c r="Y26" s="18"/>
      <c r="Z26" s="18"/>
      <c r="AA26" s="19"/>
    </row>
    <row r="27" spans="1:27" s="22" customFormat="1">
      <c r="A27" s="22">
        <v>26</v>
      </c>
      <c r="B27" s="23" t="s">
        <v>147</v>
      </c>
      <c r="C27" s="18" t="s">
        <v>22</v>
      </c>
      <c r="D27" s="18">
        <v>160</v>
      </c>
      <c r="E27" s="18">
        <v>0</v>
      </c>
      <c r="F27" s="18">
        <v>16</v>
      </c>
      <c r="G27" s="18">
        <v>16</v>
      </c>
      <c r="H27" s="18">
        <v>5</v>
      </c>
      <c r="I27" s="18">
        <v>13</v>
      </c>
      <c r="J27" s="18">
        <v>20</v>
      </c>
      <c r="K27" s="18">
        <v>20</v>
      </c>
      <c r="L27" s="18">
        <v>7</v>
      </c>
      <c r="M27" s="18">
        <v>8</v>
      </c>
      <c r="N27" s="18">
        <v>180</v>
      </c>
      <c r="O27" s="18">
        <v>4</v>
      </c>
      <c r="P27" s="18">
        <v>10</v>
      </c>
      <c r="Q27" s="18" t="b">
        <v>0</v>
      </c>
      <c r="R27" s="18"/>
      <c r="S27" s="18"/>
      <c r="T27" s="18"/>
      <c r="U27" s="18"/>
      <c r="V27" s="18"/>
      <c r="W27" s="18" t="s">
        <v>146</v>
      </c>
      <c r="X27" s="18"/>
      <c r="Y27" s="18"/>
      <c r="Z27" s="18"/>
      <c r="AA27" s="19"/>
    </row>
    <row r="28" spans="1:27" s="22" customFormat="1">
      <c r="A28" s="22">
        <v>27</v>
      </c>
      <c r="B28" s="21" t="s">
        <v>86</v>
      </c>
      <c r="C28" s="21" t="s">
        <v>85</v>
      </c>
      <c r="D28" s="19">
        <v>96</v>
      </c>
      <c r="E28" s="19">
        <v>16</v>
      </c>
      <c r="F28" s="19">
        <v>16</v>
      </c>
      <c r="G28" s="19">
        <v>16</v>
      </c>
      <c r="H28" s="19">
        <v>5</v>
      </c>
      <c r="I28" s="19">
        <v>18</v>
      </c>
      <c r="J28" s="18">
        <v>26</v>
      </c>
      <c r="K28" s="18">
        <v>25</v>
      </c>
      <c r="L28" s="18">
        <v>6</v>
      </c>
      <c r="M28" s="18">
        <v>10</v>
      </c>
      <c r="N28" s="18">
        <v>0</v>
      </c>
      <c r="O28" s="18">
        <v>1</v>
      </c>
      <c r="P28" s="18">
        <v>2</v>
      </c>
      <c r="Q28" s="19" t="b">
        <v>1</v>
      </c>
      <c r="R28" s="18"/>
      <c r="S28" s="18"/>
      <c r="T28" s="18"/>
      <c r="U28" s="18"/>
      <c r="V28" s="18" t="s">
        <v>146</v>
      </c>
      <c r="W28" s="18"/>
      <c r="X28" s="18"/>
      <c r="Y28" s="18"/>
      <c r="Z28" s="18"/>
      <c r="AA28" s="19" t="s">
        <v>120</v>
      </c>
    </row>
    <row r="29" spans="1:27" s="22" customFormat="1">
      <c r="A29" s="22">
        <v>28</v>
      </c>
      <c r="B29" s="21" t="s">
        <v>150</v>
      </c>
      <c r="C29" s="21" t="s">
        <v>85</v>
      </c>
      <c r="D29" s="19">
        <v>96</v>
      </c>
      <c r="E29" s="19">
        <v>16</v>
      </c>
      <c r="F29" s="19">
        <v>16</v>
      </c>
      <c r="G29" s="19">
        <v>16</v>
      </c>
      <c r="H29" s="19">
        <v>5</v>
      </c>
      <c r="I29" s="19">
        <v>18</v>
      </c>
      <c r="J29" s="18">
        <v>26</v>
      </c>
      <c r="K29" s="18">
        <v>25</v>
      </c>
      <c r="L29" s="18">
        <v>6</v>
      </c>
      <c r="M29" s="18">
        <v>10</v>
      </c>
      <c r="N29" s="18">
        <v>0</v>
      </c>
      <c r="O29" s="18">
        <v>1</v>
      </c>
      <c r="P29" s="18">
        <v>4</v>
      </c>
      <c r="Q29" s="19" t="b">
        <v>1</v>
      </c>
      <c r="R29" s="18"/>
      <c r="S29" s="18"/>
      <c r="T29" s="18"/>
      <c r="U29" s="18"/>
      <c r="V29" s="18"/>
      <c r="W29" s="18" t="s">
        <v>146</v>
      </c>
      <c r="X29" s="18"/>
      <c r="Y29" s="18"/>
      <c r="Z29" s="18"/>
      <c r="AA29" s="19" t="s">
        <v>120</v>
      </c>
    </row>
    <row r="30" spans="1:27" s="22" customFormat="1">
      <c r="A30" s="22">
        <v>29</v>
      </c>
      <c r="B30" s="21" t="s">
        <v>87</v>
      </c>
      <c r="C30" s="21" t="s">
        <v>88</v>
      </c>
      <c r="D30" s="19">
        <v>224</v>
      </c>
      <c r="E30" s="19">
        <v>0</v>
      </c>
      <c r="F30" s="19">
        <v>16</v>
      </c>
      <c r="G30" s="19">
        <v>16</v>
      </c>
      <c r="H30" s="19">
        <v>6</v>
      </c>
      <c r="I30" s="19">
        <v>45</v>
      </c>
      <c r="J30" s="18">
        <v>45</v>
      </c>
      <c r="K30" s="18">
        <v>25</v>
      </c>
      <c r="L30" s="18">
        <v>8</v>
      </c>
      <c r="M30" s="18">
        <v>12</v>
      </c>
      <c r="N30" s="18">
        <v>0</v>
      </c>
      <c r="O30" s="18">
        <v>1</v>
      </c>
      <c r="P30" s="18">
        <v>3</v>
      </c>
      <c r="Q30" s="19" t="b">
        <v>1</v>
      </c>
      <c r="R30" s="19"/>
      <c r="S30" s="19"/>
      <c r="T30" s="19"/>
      <c r="U30" s="19"/>
      <c r="V30" s="19"/>
      <c r="W30" s="18" t="s">
        <v>146</v>
      </c>
      <c r="X30" s="18"/>
      <c r="Y30" s="19"/>
      <c r="Z30" s="19"/>
      <c r="AA30" s="19" t="s">
        <v>131</v>
      </c>
    </row>
    <row r="31" spans="1:27" s="22" customFormat="1">
      <c r="A31" s="22">
        <v>30</v>
      </c>
      <c r="B31" s="21" t="s">
        <v>151</v>
      </c>
      <c r="C31" s="21" t="s">
        <v>88</v>
      </c>
      <c r="D31" s="19">
        <v>224</v>
      </c>
      <c r="E31" s="19">
        <v>0</v>
      </c>
      <c r="F31" s="19">
        <v>16</v>
      </c>
      <c r="G31" s="19">
        <v>16</v>
      </c>
      <c r="H31" s="19">
        <v>6</v>
      </c>
      <c r="I31" s="19">
        <v>45</v>
      </c>
      <c r="J31" s="18">
        <v>45</v>
      </c>
      <c r="K31" s="18">
        <v>25</v>
      </c>
      <c r="L31" s="18">
        <v>8</v>
      </c>
      <c r="M31" s="18">
        <v>12</v>
      </c>
      <c r="N31" s="18">
        <v>0</v>
      </c>
      <c r="O31" s="18">
        <v>2</v>
      </c>
      <c r="P31" s="18">
        <v>5</v>
      </c>
      <c r="Q31" s="19" t="b">
        <v>1</v>
      </c>
      <c r="R31" s="19"/>
      <c r="S31" s="19"/>
      <c r="T31" s="19"/>
      <c r="U31" s="19"/>
      <c r="V31" s="19"/>
      <c r="W31" s="18"/>
      <c r="X31" s="18" t="s">
        <v>146</v>
      </c>
      <c r="Y31" s="19"/>
      <c r="Z31" s="19"/>
      <c r="AA31" s="19" t="s">
        <v>131</v>
      </c>
    </row>
    <row r="32" spans="1:27" s="22" customFormat="1">
      <c r="A32" s="22">
        <v>31</v>
      </c>
      <c r="B32" s="21" t="s">
        <v>89</v>
      </c>
      <c r="C32" s="21" t="s">
        <v>90</v>
      </c>
      <c r="D32" s="19">
        <v>32</v>
      </c>
      <c r="E32" s="19">
        <v>16</v>
      </c>
      <c r="F32" s="19">
        <v>16</v>
      </c>
      <c r="G32" s="19">
        <v>16</v>
      </c>
      <c r="H32" s="19">
        <v>5</v>
      </c>
      <c r="I32" s="19">
        <v>18</v>
      </c>
      <c r="J32" s="18">
        <v>23</v>
      </c>
      <c r="K32" s="18">
        <v>25</v>
      </c>
      <c r="L32" s="18">
        <v>12</v>
      </c>
      <c r="M32" s="18">
        <v>10</v>
      </c>
      <c r="N32" s="18">
        <v>0</v>
      </c>
      <c r="O32" s="18">
        <v>3</v>
      </c>
      <c r="P32" s="18">
        <v>7</v>
      </c>
      <c r="Q32" s="19" t="b">
        <v>1</v>
      </c>
      <c r="R32" s="19"/>
      <c r="S32" s="19"/>
      <c r="T32" s="19"/>
      <c r="U32" s="19"/>
      <c r="V32" s="18" t="s">
        <v>146</v>
      </c>
      <c r="W32" s="18"/>
      <c r="X32" s="18"/>
      <c r="Y32" s="19"/>
      <c r="Z32" s="19"/>
      <c r="AA32" s="19"/>
    </row>
    <row r="33" spans="1:27" s="22" customFormat="1">
      <c r="A33" s="22">
        <v>32</v>
      </c>
      <c r="B33" s="21" t="s">
        <v>152</v>
      </c>
      <c r="C33" s="21" t="s">
        <v>90</v>
      </c>
      <c r="D33" s="19">
        <v>32</v>
      </c>
      <c r="E33" s="19">
        <v>16</v>
      </c>
      <c r="F33" s="19">
        <v>16</v>
      </c>
      <c r="G33" s="19">
        <v>16</v>
      </c>
      <c r="H33" s="19">
        <v>5</v>
      </c>
      <c r="I33" s="19">
        <v>18</v>
      </c>
      <c r="J33" s="18">
        <v>23</v>
      </c>
      <c r="K33" s="18">
        <v>25</v>
      </c>
      <c r="L33" s="18">
        <v>12</v>
      </c>
      <c r="M33" s="18">
        <v>10</v>
      </c>
      <c r="N33" s="18">
        <v>0</v>
      </c>
      <c r="O33" s="18">
        <v>5</v>
      </c>
      <c r="P33" s="18">
        <v>9</v>
      </c>
      <c r="Q33" s="19" t="b">
        <v>1</v>
      </c>
      <c r="R33" s="19"/>
      <c r="S33" s="19"/>
      <c r="T33" s="19"/>
      <c r="U33" s="19"/>
      <c r="V33" s="18"/>
      <c r="W33" s="18" t="s">
        <v>146</v>
      </c>
      <c r="X33" s="18"/>
      <c r="Y33" s="19"/>
      <c r="Z33" s="19"/>
      <c r="AA33" s="19"/>
    </row>
    <row r="34" spans="1:27" s="22" customFormat="1">
      <c r="A34" s="22">
        <v>33</v>
      </c>
      <c r="B34" s="21" t="s">
        <v>153</v>
      </c>
      <c r="C34" s="21" t="s">
        <v>90</v>
      </c>
      <c r="D34" s="19">
        <v>32</v>
      </c>
      <c r="E34" s="19">
        <v>16</v>
      </c>
      <c r="F34" s="19">
        <v>16</v>
      </c>
      <c r="G34" s="19">
        <v>16</v>
      </c>
      <c r="H34" s="19">
        <v>5</v>
      </c>
      <c r="I34" s="19">
        <v>18</v>
      </c>
      <c r="J34" s="18">
        <v>23</v>
      </c>
      <c r="K34" s="18">
        <v>25</v>
      </c>
      <c r="L34" s="18">
        <v>12</v>
      </c>
      <c r="M34" s="18">
        <v>10</v>
      </c>
      <c r="N34" s="18">
        <v>0</v>
      </c>
      <c r="O34" s="18">
        <v>7</v>
      </c>
      <c r="P34" s="18">
        <v>12</v>
      </c>
      <c r="Q34" s="19" t="b">
        <v>1</v>
      </c>
      <c r="R34" s="19"/>
      <c r="S34" s="19"/>
      <c r="T34" s="19"/>
      <c r="U34" s="19"/>
      <c r="V34" s="18"/>
      <c r="W34" s="18"/>
      <c r="X34" s="18" t="s">
        <v>146</v>
      </c>
      <c r="Y34" s="19"/>
      <c r="Z34" s="19"/>
      <c r="AA34" s="19"/>
    </row>
    <row r="35" spans="1:27" s="22" customFormat="1">
      <c r="A35" s="22">
        <v>34</v>
      </c>
      <c r="B35" s="21" t="s">
        <v>91</v>
      </c>
      <c r="C35" s="21" t="s">
        <v>92</v>
      </c>
      <c r="D35" s="19">
        <v>208</v>
      </c>
      <c r="E35" s="19">
        <v>0</v>
      </c>
      <c r="F35" s="19">
        <v>16</v>
      </c>
      <c r="G35" s="19">
        <v>16</v>
      </c>
      <c r="H35" s="19">
        <v>6</v>
      </c>
      <c r="I35" s="18">
        <v>32</v>
      </c>
      <c r="J35" s="18">
        <v>30</v>
      </c>
      <c r="K35" s="18">
        <v>32</v>
      </c>
      <c r="L35" s="18">
        <v>6</v>
      </c>
      <c r="M35" s="18">
        <v>15</v>
      </c>
      <c r="N35" s="18">
        <v>150</v>
      </c>
      <c r="O35" s="18">
        <v>1</v>
      </c>
      <c r="P35" s="18">
        <v>3</v>
      </c>
      <c r="Q35" s="19" t="b">
        <v>1</v>
      </c>
      <c r="R35" s="19"/>
      <c r="S35" s="19"/>
      <c r="T35" s="19"/>
      <c r="U35" s="19"/>
      <c r="V35" s="19"/>
      <c r="W35" s="18" t="s">
        <v>146</v>
      </c>
      <c r="X35" s="18"/>
      <c r="Y35" s="19"/>
      <c r="Z35" s="19"/>
      <c r="AA35" s="19"/>
    </row>
    <row r="36" spans="1:27" s="22" customFormat="1">
      <c r="A36" s="22">
        <v>35</v>
      </c>
      <c r="B36" s="21" t="s">
        <v>155</v>
      </c>
      <c r="C36" s="21" t="s">
        <v>92</v>
      </c>
      <c r="D36" s="19">
        <v>208</v>
      </c>
      <c r="E36" s="19">
        <v>0</v>
      </c>
      <c r="F36" s="19">
        <v>16</v>
      </c>
      <c r="G36" s="19">
        <v>16</v>
      </c>
      <c r="H36" s="19">
        <v>6</v>
      </c>
      <c r="I36" s="18">
        <v>32</v>
      </c>
      <c r="J36" s="18">
        <v>30</v>
      </c>
      <c r="K36" s="18">
        <v>32</v>
      </c>
      <c r="L36" s="18">
        <v>6</v>
      </c>
      <c r="M36" s="18">
        <v>15</v>
      </c>
      <c r="N36" s="18">
        <v>150</v>
      </c>
      <c r="O36" s="18">
        <v>2</v>
      </c>
      <c r="P36" s="18">
        <v>5</v>
      </c>
      <c r="Q36" s="19" t="b">
        <v>1</v>
      </c>
      <c r="R36" s="19"/>
      <c r="S36" s="19"/>
      <c r="T36" s="19"/>
      <c r="U36" s="19"/>
      <c r="V36" s="19"/>
      <c r="W36" s="18"/>
      <c r="X36" s="18" t="s">
        <v>145</v>
      </c>
      <c r="Y36" s="19"/>
      <c r="Z36" s="19"/>
      <c r="AA36" s="19"/>
    </row>
    <row r="37" spans="1:27" s="22" customFormat="1">
      <c r="A37" s="22">
        <v>36</v>
      </c>
      <c r="B37" s="21" t="s">
        <v>93</v>
      </c>
      <c r="C37" s="21" t="s">
        <v>94</v>
      </c>
      <c r="D37" s="19">
        <v>240</v>
      </c>
      <c r="E37" s="19">
        <v>0</v>
      </c>
      <c r="F37" s="19">
        <v>16</v>
      </c>
      <c r="G37" s="19">
        <v>16</v>
      </c>
      <c r="H37" s="19">
        <v>6</v>
      </c>
      <c r="I37" s="19">
        <v>37</v>
      </c>
      <c r="J37" s="18">
        <v>34</v>
      </c>
      <c r="K37" s="18">
        <v>35</v>
      </c>
      <c r="L37" s="18">
        <v>8</v>
      </c>
      <c r="M37" s="18">
        <v>17</v>
      </c>
      <c r="N37" s="19">
        <v>300</v>
      </c>
      <c r="O37" s="19">
        <v>2</v>
      </c>
      <c r="P37" s="19">
        <v>2</v>
      </c>
      <c r="Q37" s="19" t="b">
        <v>1</v>
      </c>
      <c r="R37" s="19"/>
      <c r="S37" s="19"/>
      <c r="T37" s="19"/>
      <c r="U37" s="19"/>
      <c r="V37" s="19"/>
      <c r="W37" s="18" t="s">
        <v>146</v>
      </c>
      <c r="X37" s="18" t="s">
        <v>146</v>
      </c>
      <c r="Y37" s="19"/>
      <c r="Z37" s="19"/>
      <c r="AA37" s="19" t="s">
        <v>130</v>
      </c>
    </row>
    <row r="38" spans="1:27">
      <c r="A38" s="22">
        <v>37</v>
      </c>
      <c r="B38" s="11" t="s">
        <v>96</v>
      </c>
      <c r="C38" s="12" t="s">
        <v>95</v>
      </c>
      <c r="D38" s="19">
        <v>48</v>
      </c>
      <c r="E38" s="19">
        <v>16</v>
      </c>
      <c r="F38" s="19">
        <v>16</v>
      </c>
      <c r="G38" s="19">
        <v>16</v>
      </c>
      <c r="H38" s="19">
        <v>6</v>
      </c>
      <c r="I38" s="19">
        <v>30</v>
      </c>
      <c r="J38" s="18">
        <v>35</v>
      </c>
      <c r="K38" s="18">
        <v>30</v>
      </c>
      <c r="L38" s="18">
        <v>9</v>
      </c>
      <c r="M38" s="18">
        <v>16</v>
      </c>
      <c r="N38" s="13">
        <v>400</v>
      </c>
      <c r="O38" s="13">
        <v>1</v>
      </c>
      <c r="P38" s="13">
        <v>3</v>
      </c>
      <c r="Q38" s="13" t="b">
        <v>1</v>
      </c>
      <c r="R38" s="13"/>
      <c r="S38" s="13"/>
      <c r="T38" s="13"/>
      <c r="U38" s="13"/>
      <c r="V38" s="13"/>
      <c r="W38" s="13"/>
      <c r="X38" s="18" t="s">
        <v>146</v>
      </c>
      <c r="Y38" s="13"/>
      <c r="Z38" s="13"/>
      <c r="AA38" s="13" t="s">
        <v>129</v>
      </c>
    </row>
    <row r="39" spans="1:27">
      <c r="A39" s="22">
        <v>38</v>
      </c>
      <c r="B39" s="11" t="s">
        <v>118</v>
      </c>
      <c r="C39" s="12" t="s">
        <v>95</v>
      </c>
      <c r="D39" s="19">
        <v>48</v>
      </c>
      <c r="E39" s="19">
        <v>16</v>
      </c>
      <c r="F39" s="19">
        <v>16</v>
      </c>
      <c r="G39" s="19">
        <v>16</v>
      </c>
      <c r="H39" s="19">
        <v>6</v>
      </c>
      <c r="I39" s="19">
        <v>30</v>
      </c>
      <c r="J39" s="18">
        <v>35</v>
      </c>
      <c r="K39" s="18">
        <v>30</v>
      </c>
      <c r="L39" s="18">
        <v>9</v>
      </c>
      <c r="M39" s="18">
        <v>16</v>
      </c>
      <c r="N39" s="13">
        <v>400</v>
      </c>
      <c r="O39" s="13">
        <v>2</v>
      </c>
      <c r="P39" s="13">
        <v>5</v>
      </c>
      <c r="Q39" s="13" t="b">
        <v>1</v>
      </c>
      <c r="R39" s="13"/>
      <c r="S39" s="13"/>
      <c r="T39" s="13"/>
      <c r="U39" s="13"/>
      <c r="V39" s="13"/>
      <c r="W39" s="13"/>
      <c r="X39" s="13"/>
      <c r="Y39" s="18" t="s">
        <v>146</v>
      </c>
      <c r="Z39" s="13"/>
      <c r="AA39" s="13" t="s">
        <v>129</v>
      </c>
    </row>
    <row r="40" spans="1:27" s="22" customFormat="1">
      <c r="A40" s="22">
        <v>39</v>
      </c>
      <c r="B40" s="21" t="s">
        <v>97</v>
      </c>
      <c r="C40" s="21" t="s">
        <v>98</v>
      </c>
      <c r="D40" s="19">
        <v>0</v>
      </c>
      <c r="E40" s="19">
        <v>16</v>
      </c>
      <c r="F40" s="18">
        <v>32</v>
      </c>
      <c r="G40" s="18">
        <v>32</v>
      </c>
      <c r="H40" s="18">
        <v>5</v>
      </c>
      <c r="I40" s="18">
        <v>150</v>
      </c>
      <c r="J40" s="18">
        <v>55</v>
      </c>
      <c r="K40" s="18">
        <v>45</v>
      </c>
      <c r="L40" s="18">
        <v>28</v>
      </c>
      <c r="M40" s="18">
        <v>500</v>
      </c>
      <c r="N40" s="18">
        <v>2500</v>
      </c>
      <c r="O40" s="19">
        <v>1</v>
      </c>
      <c r="P40" s="19">
        <v>1</v>
      </c>
      <c r="Q40" s="19" t="b">
        <v>0</v>
      </c>
      <c r="R40" s="19"/>
      <c r="S40" s="19"/>
      <c r="T40" s="19"/>
      <c r="U40" s="19"/>
      <c r="V40" s="19"/>
      <c r="W40" s="19"/>
      <c r="X40" s="18" t="s">
        <v>146</v>
      </c>
      <c r="Y40" s="19"/>
      <c r="Z40" s="19"/>
      <c r="AA40" s="19"/>
    </row>
    <row r="41" spans="1:27">
      <c r="A41">
        <v>40</v>
      </c>
      <c r="B41" s="11" t="s">
        <v>154</v>
      </c>
      <c r="C41" s="12" t="s">
        <v>115</v>
      </c>
      <c r="D41" s="19">
        <v>192</v>
      </c>
      <c r="E41" s="19">
        <v>16</v>
      </c>
      <c r="F41" s="19">
        <v>24</v>
      </c>
      <c r="G41" s="19">
        <v>24</v>
      </c>
      <c r="H41" s="19">
        <v>8</v>
      </c>
      <c r="I41" s="18">
        <v>95</v>
      </c>
      <c r="J41" s="18">
        <v>300</v>
      </c>
      <c r="K41" s="18">
        <v>40</v>
      </c>
      <c r="L41" s="18">
        <v>15</v>
      </c>
      <c r="M41" s="18">
        <v>200</v>
      </c>
      <c r="N41" s="18">
        <v>500</v>
      </c>
      <c r="O41" s="13">
        <v>1</v>
      </c>
      <c r="P41" s="13">
        <v>3</v>
      </c>
      <c r="Q41" s="13" t="b">
        <v>1</v>
      </c>
      <c r="R41" s="13"/>
      <c r="S41" s="13"/>
      <c r="T41" s="13"/>
      <c r="U41" s="13"/>
      <c r="V41" s="13"/>
      <c r="W41" s="13"/>
      <c r="X41" s="13"/>
      <c r="Y41" s="13"/>
      <c r="Z41" s="18" t="s">
        <v>146</v>
      </c>
      <c r="AA41" t="s">
        <v>126</v>
      </c>
    </row>
    <row r="42" spans="1:27">
      <c r="A42">
        <v>41</v>
      </c>
      <c r="B42" s="11" t="s">
        <v>117</v>
      </c>
      <c r="C42" s="12" t="s">
        <v>116</v>
      </c>
      <c r="D42" s="19">
        <v>216</v>
      </c>
      <c r="E42" s="19">
        <v>16</v>
      </c>
      <c r="F42" s="19">
        <v>24</v>
      </c>
      <c r="G42" s="19">
        <v>24</v>
      </c>
      <c r="H42" s="19">
        <v>8</v>
      </c>
      <c r="I42" s="18">
        <v>100</v>
      </c>
      <c r="J42" s="18">
        <v>500</v>
      </c>
      <c r="K42" s="18">
        <v>60</v>
      </c>
      <c r="L42" s="18">
        <v>18</v>
      </c>
      <c r="M42" s="18">
        <v>400</v>
      </c>
      <c r="N42" s="18">
        <v>700</v>
      </c>
      <c r="O42" s="13">
        <v>1</v>
      </c>
      <c r="P42" s="13">
        <v>2</v>
      </c>
      <c r="Q42" s="19" t="b">
        <v>0</v>
      </c>
      <c r="R42" s="13"/>
      <c r="S42" s="13"/>
      <c r="T42" s="13"/>
      <c r="U42" s="13"/>
      <c r="V42" s="13"/>
      <c r="W42" s="13"/>
      <c r="X42" s="13"/>
      <c r="Y42" s="13"/>
      <c r="Z42" s="18" t="s">
        <v>146</v>
      </c>
      <c r="AA42" t="s">
        <v>127</v>
      </c>
    </row>
    <row r="43" spans="1:27">
      <c r="A43">
        <v>42</v>
      </c>
      <c r="B43" s="11" t="s">
        <v>100</v>
      </c>
      <c r="C43" s="12" t="s">
        <v>101</v>
      </c>
      <c r="D43" s="13">
        <v>112</v>
      </c>
      <c r="E43" s="13">
        <v>16</v>
      </c>
      <c r="F43" s="13">
        <v>16</v>
      </c>
      <c r="G43" s="13">
        <v>16</v>
      </c>
      <c r="H43" s="19">
        <v>6</v>
      </c>
      <c r="I43" s="18">
        <v>40</v>
      </c>
      <c r="J43" s="18">
        <v>150</v>
      </c>
      <c r="K43" s="18">
        <v>100</v>
      </c>
      <c r="L43" s="18">
        <v>13</v>
      </c>
      <c r="M43" s="18">
        <v>100</v>
      </c>
      <c r="N43" s="18">
        <v>0</v>
      </c>
      <c r="O43" s="13">
        <v>1</v>
      </c>
      <c r="P43" s="13">
        <v>3</v>
      </c>
      <c r="Q43" s="13" t="b">
        <v>1</v>
      </c>
      <c r="R43" s="13"/>
      <c r="S43" s="13"/>
      <c r="T43" s="13"/>
      <c r="U43" s="13"/>
      <c r="V43" s="13"/>
      <c r="W43" s="13"/>
      <c r="X43" s="13"/>
      <c r="Y43" s="18" t="s">
        <v>146</v>
      </c>
      <c r="Z43" s="13"/>
      <c r="AA43" s="13" t="s">
        <v>122</v>
      </c>
    </row>
    <row r="44" spans="1:27">
      <c r="A44">
        <v>43</v>
      </c>
      <c r="B44" s="11" t="s">
        <v>103</v>
      </c>
      <c r="C44" s="12" t="s">
        <v>102</v>
      </c>
      <c r="D44" s="19">
        <v>144</v>
      </c>
      <c r="E44" s="19">
        <v>16</v>
      </c>
      <c r="F44" s="19">
        <v>16</v>
      </c>
      <c r="G44" s="19">
        <v>16</v>
      </c>
      <c r="H44" s="19">
        <v>6</v>
      </c>
      <c r="I44" s="18">
        <v>30</v>
      </c>
      <c r="J44" s="18">
        <v>110</v>
      </c>
      <c r="K44" s="18">
        <v>100</v>
      </c>
      <c r="L44" s="18">
        <v>15</v>
      </c>
      <c r="M44" s="18">
        <v>100</v>
      </c>
      <c r="N44" s="18">
        <v>250</v>
      </c>
      <c r="O44" s="19">
        <v>1</v>
      </c>
      <c r="P44" s="19">
        <v>3</v>
      </c>
      <c r="Q44" s="13" t="b">
        <v>1</v>
      </c>
      <c r="R44" s="13"/>
      <c r="S44" s="13"/>
      <c r="T44" s="13"/>
      <c r="U44" s="13"/>
      <c r="V44" s="13"/>
      <c r="W44" s="13"/>
      <c r="X44" s="18" t="s">
        <v>146</v>
      </c>
      <c r="Y44" s="18" t="s">
        <v>146</v>
      </c>
      <c r="Z44" s="18" t="s">
        <v>146</v>
      </c>
      <c r="AA44" s="13" t="s">
        <v>124</v>
      </c>
    </row>
    <row r="45" spans="1:27">
      <c r="A45">
        <v>44</v>
      </c>
      <c r="B45" s="11" t="s">
        <v>104</v>
      </c>
      <c r="C45" s="12" t="s">
        <v>105</v>
      </c>
      <c r="D45" s="19">
        <v>80</v>
      </c>
      <c r="E45" s="19">
        <v>16</v>
      </c>
      <c r="F45" s="19">
        <v>16</v>
      </c>
      <c r="G45" s="19">
        <v>16</v>
      </c>
      <c r="H45" s="19">
        <v>6</v>
      </c>
      <c r="I45" s="18">
        <v>45</v>
      </c>
      <c r="J45" s="18">
        <v>100</v>
      </c>
      <c r="K45" s="18">
        <v>120</v>
      </c>
      <c r="L45" s="18">
        <v>13</v>
      </c>
      <c r="M45" s="18">
        <v>110</v>
      </c>
      <c r="N45" s="18">
        <v>0</v>
      </c>
      <c r="O45" s="13">
        <v>1</v>
      </c>
      <c r="P45" s="13">
        <v>1</v>
      </c>
      <c r="Q45" s="13" t="b">
        <v>0</v>
      </c>
      <c r="R45" s="13"/>
      <c r="S45" s="13"/>
      <c r="T45" s="13"/>
      <c r="U45" s="13"/>
      <c r="V45" s="13"/>
      <c r="W45" s="13"/>
      <c r="X45" s="18" t="s">
        <v>146</v>
      </c>
      <c r="Y45" s="18"/>
      <c r="Z45" s="13"/>
      <c r="AA45" s="13" t="s">
        <v>121</v>
      </c>
    </row>
    <row r="46" spans="1:27">
      <c r="A46">
        <v>45</v>
      </c>
      <c r="B46" s="11" t="s">
        <v>119</v>
      </c>
      <c r="C46" s="12" t="s">
        <v>105</v>
      </c>
      <c r="D46" s="19">
        <v>80</v>
      </c>
      <c r="E46" s="19">
        <v>16</v>
      </c>
      <c r="F46" s="19">
        <v>16</v>
      </c>
      <c r="G46" s="19">
        <v>16</v>
      </c>
      <c r="H46" s="19">
        <v>6</v>
      </c>
      <c r="I46" s="18">
        <v>45</v>
      </c>
      <c r="J46" s="18">
        <v>100</v>
      </c>
      <c r="K46" s="18">
        <v>120</v>
      </c>
      <c r="L46" s="18">
        <v>13</v>
      </c>
      <c r="M46" s="18">
        <v>110</v>
      </c>
      <c r="N46" s="18">
        <v>0</v>
      </c>
      <c r="O46" s="13">
        <v>1</v>
      </c>
      <c r="P46" s="13">
        <v>2</v>
      </c>
      <c r="Q46" s="13" t="b">
        <v>0</v>
      </c>
      <c r="R46" s="13"/>
      <c r="S46" s="13"/>
      <c r="T46" s="13"/>
      <c r="U46" s="13"/>
      <c r="V46" s="13"/>
      <c r="W46" s="13"/>
      <c r="X46" s="13"/>
      <c r="Y46" s="18" t="s">
        <v>146</v>
      </c>
      <c r="Z46" s="13"/>
      <c r="AA46" s="13" t="s">
        <v>121</v>
      </c>
    </row>
    <row r="47" spans="1:27">
      <c r="A47">
        <v>46</v>
      </c>
      <c r="B47" s="11" t="s">
        <v>106</v>
      </c>
      <c r="C47" s="12" t="s">
        <v>107</v>
      </c>
      <c r="D47" s="19">
        <v>64</v>
      </c>
      <c r="E47" s="19">
        <v>16</v>
      </c>
      <c r="F47" s="19">
        <v>16</v>
      </c>
      <c r="G47" s="19">
        <v>16</v>
      </c>
      <c r="H47" s="19">
        <v>6</v>
      </c>
      <c r="I47" s="18">
        <v>20</v>
      </c>
      <c r="J47" s="18">
        <v>90</v>
      </c>
      <c r="K47" s="18">
        <v>100</v>
      </c>
      <c r="L47" s="18">
        <v>9</v>
      </c>
      <c r="M47" s="18">
        <v>90</v>
      </c>
      <c r="N47" s="18">
        <v>0</v>
      </c>
      <c r="O47" s="13">
        <v>1</v>
      </c>
      <c r="P47" s="13">
        <v>2</v>
      </c>
      <c r="Q47" s="13" t="b">
        <v>1</v>
      </c>
      <c r="R47" s="13"/>
      <c r="S47" s="13"/>
      <c r="T47" s="13"/>
      <c r="U47" s="13"/>
      <c r="V47" s="13"/>
      <c r="W47" s="13"/>
      <c r="X47" s="18" t="s">
        <v>146</v>
      </c>
      <c r="Y47" s="18" t="s">
        <v>146</v>
      </c>
      <c r="Z47" s="13"/>
      <c r="AA47" s="13"/>
    </row>
    <row r="48" spans="1:27">
      <c r="A48">
        <v>47</v>
      </c>
      <c r="B48" s="11" t="s">
        <v>108</v>
      </c>
      <c r="C48" s="12" t="s">
        <v>109</v>
      </c>
      <c r="D48" s="13">
        <v>128</v>
      </c>
      <c r="E48" s="13">
        <v>16</v>
      </c>
      <c r="F48" s="13">
        <v>16</v>
      </c>
      <c r="G48" s="13">
        <v>16</v>
      </c>
      <c r="H48" s="19">
        <v>6</v>
      </c>
      <c r="I48" s="18">
        <v>65</v>
      </c>
      <c r="J48" s="18">
        <v>120</v>
      </c>
      <c r="K48" s="18">
        <v>110</v>
      </c>
      <c r="L48" s="18">
        <v>10</v>
      </c>
      <c r="M48" s="18">
        <v>120</v>
      </c>
      <c r="N48" s="18">
        <v>0</v>
      </c>
      <c r="O48" s="13">
        <v>2</v>
      </c>
      <c r="P48" s="13">
        <v>6</v>
      </c>
      <c r="Q48" s="13" t="b">
        <v>1</v>
      </c>
      <c r="R48" s="13"/>
      <c r="S48" s="13"/>
      <c r="T48" s="13"/>
      <c r="U48" s="13"/>
      <c r="V48" s="13"/>
      <c r="W48" s="13"/>
      <c r="X48" s="13"/>
      <c r="Y48" s="18" t="s">
        <v>146</v>
      </c>
      <c r="Z48" s="13"/>
      <c r="AA48" s="13" t="s">
        <v>126</v>
      </c>
    </row>
    <row r="49" spans="1:27">
      <c r="A49">
        <v>48</v>
      </c>
      <c r="B49" s="11" t="s">
        <v>111</v>
      </c>
      <c r="C49" s="12" t="s">
        <v>112</v>
      </c>
      <c r="D49" s="19">
        <v>160</v>
      </c>
      <c r="E49" s="19">
        <v>16</v>
      </c>
      <c r="F49" s="19">
        <v>16</v>
      </c>
      <c r="G49" s="19">
        <v>16</v>
      </c>
      <c r="H49" s="19">
        <v>6</v>
      </c>
      <c r="I49" s="18">
        <v>30</v>
      </c>
      <c r="J49" s="18">
        <v>200</v>
      </c>
      <c r="K49" s="18">
        <v>90</v>
      </c>
      <c r="L49" s="18">
        <v>12</v>
      </c>
      <c r="M49" s="18">
        <v>100</v>
      </c>
      <c r="N49" s="18">
        <v>0</v>
      </c>
      <c r="O49" s="13">
        <v>5</v>
      </c>
      <c r="P49" s="13">
        <v>5</v>
      </c>
      <c r="Q49" s="13" t="b">
        <v>1</v>
      </c>
      <c r="R49" s="13"/>
      <c r="S49" s="13"/>
      <c r="T49" s="13"/>
      <c r="U49" s="13"/>
      <c r="V49" s="13"/>
      <c r="W49" s="13"/>
      <c r="X49" s="13"/>
      <c r="Y49" s="18" t="s">
        <v>146</v>
      </c>
      <c r="Z49" s="13"/>
      <c r="AA49" s="13" t="s">
        <v>123</v>
      </c>
    </row>
    <row r="50" spans="1:27">
      <c r="A50">
        <v>49</v>
      </c>
      <c r="B50" s="11" t="s">
        <v>128</v>
      </c>
      <c r="C50" s="12" t="s">
        <v>112</v>
      </c>
      <c r="D50" s="19">
        <v>160</v>
      </c>
      <c r="E50" s="19">
        <v>16</v>
      </c>
      <c r="F50" s="19">
        <v>16</v>
      </c>
      <c r="G50" s="19">
        <v>16</v>
      </c>
      <c r="H50" s="19">
        <v>6</v>
      </c>
      <c r="I50" s="18">
        <v>30</v>
      </c>
      <c r="J50" s="18">
        <v>200</v>
      </c>
      <c r="K50" s="18">
        <v>90</v>
      </c>
      <c r="L50" s="18">
        <v>12</v>
      </c>
      <c r="M50" s="18">
        <v>100</v>
      </c>
      <c r="N50" s="18">
        <v>0</v>
      </c>
      <c r="O50" s="13">
        <v>4</v>
      </c>
      <c r="P50" s="13">
        <v>6</v>
      </c>
      <c r="Q50" s="13" t="b">
        <v>1</v>
      </c>
      <c r="R50" s="13"/>
      <c r="S50" s="13"/>
      <c r="T50" s="13"/>
      <c r="U50" s="13"/>
      <c r="V50" s="13"/>
      <c r="W50" s="13"/>
      <c r="X50" s="13"/>
      <c r="Y50" s="18" t="s">
        <v>146</v>
      </c>
      <c r="Z50" s="13"/>
      <c r="AA50" s="13" t="s">
        <v>123</v>
      </c>
    </row>
    <row r="51" spans="1:27">
      <c r="A51">
        <v>50</v>
      </c>
      <c r="B51" s="11" t="s">
        <v>113</v>
      </c>
      <c r="C51" s="12" t="s">
        <v>114</v>
      </c>
      <c r="D51" s="19">
        <v>176</v>
      </c>
      <c r="E51" s="19">
        <v>16</v>
      </c>
      <c r="F51" s="19">
        <v>16</v>
      </c>
      <c r="G51" s="19">
        <v>16</v>
      </c>
      <c r="H51" s="19">
        <v>7</v>
      </c>
      <c r="I51" s="18">
        <v>40</v>
      </c>
      <c r="J51" s="18">
        <v>250</v>
      </c>
      <c r="K51" s="18">
        <v>120</v>
      </c>
      <c r="L51" s="18">
        <v>9</v>
      </c>
      <c r="M51" s="18">
        <v>130</v>
      </c>
      <c r="N51" s="18">
        <v>0</v>
      </c>
      <c r="O51" s="13">
        <v>1</v>
      </c>
      <c r="P51" s="13">
        <v>5</v>
      </c>
      <c r="Q51" s="13" t="b">
        <v>1</v>
      </c>
      <c r="R51" s="13"/>
      <c r="S51" s="13"/>
      <c r="T51" s="13"/>
      <c r="U51" s="13"/>
      <c r="V51" s="13"/>
      <c r="W51" s="13"/>
      <c r="X51" s="13"/>
      <c r="Y51" s="13"/>
      <c r="Z51" s="18" t="s">
        <v>146</v>
      </c>
      <c r="AA51" s="13" t="s">
        <v>125</v>
      </c>
    </row>
    <row r="53" spans="1:27">
      <c r="E53" t="s">
        <v>157</v>
      </c>
      <c r="F53" t="s">
        <v>167</v>
      </c>
      <c r="G53" t="s">
        <v>160</v>
      </c>
      <c r="I53" t="s">
        <v>161</v>
      </c>
      <c r="J53" t="s">
        <v>162</v>
      </c>
      <c r="K53" t="s">
        <v>163</v>
      </c>
      <c r="L53" t="s">
        <v>164</v>
      </c>
      <c r="M53" t="s">
        <v>165</v>
      </c>
      <c r="N53" t="s">
        <v>166</v>
      </c>
    </row>
    <row r="54" spans="1:27">
      <c r="D54" t="s">
        <v>158</v>
      </c>
      <c r="E54">
        <v>1</v>
      </c>
      <c r="F54" s="19">
        <v>8</v>
      </c>
      <c r="G54" s="19">
        <v>3</v>
      </c>
      <c r="H54" s="19"/>
      <c r="I54">
        <v>3</v>
      </c>
      <c r="J54">
        <v>2</v>
      </c>
      <c r="K54">
        <v>8</v>
      </c>
      <c r="L54">
        <v>4</v>
      </c>
      <c r="M54">
        <v>2</v>
      </c>
      <c r="N54">
        <v>4</v>
      </c>
    </row>
    <row r="55" spans="1:27">
      <c r="D55" t="s">
        <v>140</v>
      </c>
      <c r="E55">
        <v>2</v>
      </c>
    </row>
    <row r="56" spans="1:27">
      <c r="D56" t="s">
        <v>141</v>
      </c>
      <c r="E56">
        <v>3</v>
      </c>
    </row>
    <row r="57" spans="1:27">
      <c r="D57" t="s">
        <v>142</v>
      </c>
      <c r="E57">
        <v>4</v>
      </c>
    </row>
    <row r="58" spans="1:27">
      <c r="D58" t="s">
        <v>99</v>
      </c>
      <c r="E58">
        <v>5</v>
      </c>
    </row>
    <row r="59" spans="1:27">
      <c r="D59" t="s">
        <v>110</v>
      </c>
      <c r="E59">
        <v>6</v>
      </c>
    </row>
    <row r="60" spans="1:27">
      <c r="D60" t="s">
        <v>159</v>
      </c>
      <c r="E60">
        <v>7</v>
      </c>
      <c r="K60" t="s">
        <v>168</v>
      </c>
    </row>
    <row r="61" spans="1:27">
      <c r="K61" t="s">
        <v>169</v>
      </c>
    </row>
    <row r="62" spans="1:27">
      <c r="D62" t="s">
        <v>133</v>
      </c>
      <c r="K62" t="s">
        <v>170</v>
      </c>
    </row>
    <row r="63" spans="1:27">
      <c r="D63" t="s">
        <v>134</v>
      </c>
      <c r="K63" t="s">
        <v>171</v>
      </c>
    </row>
    <row r="64" spans="1:27">
      <c r="D64" t="s">
        <v>135</v>
      </c>
      <c r="K64" t="s">
        <v>172</v>
      </c>
    </row>
    <row r="65" spans="2:11">
      <c r="K65" t="s">
        <v>173</v>
      </c>
    </row>
    <row r="67" spans="2:11">
      <c r="D67" t="s">
        <v>175</v>
      </c>
      <c r="F67" s="26" t="s">
        <v>176</v>
      </c>
      <c r="J67">
        <f>100-(12/25)*10</f>
        <v>95.2</v>
      </c>
    </row>
    <row r="68" spans="2:11">
      <c r="B68">
        <f>100-(130/35)*10</f>
        <v>62.857142857142854</v>
      </c>
      <c r="D68" t="s">
        <v>174</v>
      </c>
      <c r="F68" s="26" t="s">
        <v>178</v>
      </c>
      <c r="J68">
        <f ca="1" xml:space="preserve"> (8^2/50)+INT(RAND()*12+1)-(50+INT(RAND()*12+1))</f>
        <v>-47.72</v>
      </c>
    </row>
    <row r="69" spans="2:11">
      <c r="F69" t="s">
        <v>177</v>
      </c>
    </row>
  </sheetData>
  <autoFilter ref="A1:AA51" xr:uid="{E0FBC152-2040-442E-A319-5E76EC78BBD4}"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D2" sqref="D2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41</v>
      </c>
      <c r="H1" t="s">
        <v>57</v>
      </c>
      <c r="I1" t="s">
        <v>40</v>
      </c>
      <c r="J1" t="s">
        <v>58</v>
      </c>
      <c r="K1" t="s">
        <v>42</v>
      </c>
    </row>
    <row r="2" spans="1:11">
      <c r="A2" s="1">
        <v>0</v>
      </c>
      <c r="B2" s="2" t="s">
        <v>39</v>
      </c>
      <c r="C2" s="2">
        <v>0</v>
      </c>
      <c r="D2" s="2">
        <v>64</v>
      </c>
      <c r="E2" s="2">
        <v>8</v>
      </c>
      <c r="F2" s="2">
        <v>16</v>
      </c>
      <c r="G2" s="2">
        <v>2</v>
      </c>
      <c r="H2" s="2">
        <v>1</v>
      </c>
      <c r="I2" s="2" t="b">
        <v>0</v>
      </c>
      <c r="J2" s="2" t="b">
        <v>1</v>
      </c>
      <c r="K2" s="2">
        <v>10</v>
      </c>
    </row>
    <row r="3" spans="1:11">
      <c r="A3" s="1">
        <v>1</v>
      </c>
      <c r="B3" s="4" t="s">
        <v>43</v>
      </c>
      <c r="C3" s="4">
        <v>8</v>
      </c>
      <c r="D3" s="2">
        <v>64</v>
      </c>
      <c r="E3" s="4">
        <v>8</v>
      </c>
      <c r="F3" s="4">
        <v>16</v>
      </c>
      <c r="G3" s="4">
        <v>4</v>
      </c>
      <c r="H3" s="4">
        <v>3</v>
      </c>
      <c r="I3" s="4" t="b">
        <v>0</v>
      </c>
      <c r="J3" s="4" t="b">
        <v>0</v>
      </c>
      <c r="K3" s="4">
        <v>20</v>
      </c>
    </row>
    <row r="4" spans="1:11">
      <c r="A4" s="1">
        <v>2</v>
      </c>
      <c r="B4" s="4" t="s">
        <v>44</v>
      </c>
      <c r="C4" s="4">
        <v>16</v>
      </c>
      <c r="D4" s="2">
        <v>64</v>
      </c>
      <c r="E4" s="4">
        <v>8</v>
      </c>
      <c r="F4" s="4">
        <v>16</v>
      </c>
      <c r="G4" s="4">
        <v>8</v>
      </c>
      <c r="H4" s="4">
        <v>5</v>
      </c>
      <c r="I4" s="4" t="b">
        <v>0</v>
      </c>
      <c r="J4" s="4" t="b">
        <v>0</v>
      </c>
      <c r="K4" s="4">
        <v>40</v>
      </c>
    </row>
    <row r="5" spans="1:11">
      <c r="A5" s="1">
        <v>3</v>
      </c>
      <c r="B5" s="4" t="s">
        <v>45</v>
      </c>
      <c r="C5" s="4">
        <v>24</v>
      </c>
      <c r="D5" s="2">
        <v>64</v>
      </c>
      <c r="E5" s="4">
        <v>8</v>
      </c>
      <c r="F5" s="4">
        <v>16</v>
      </c>
      <c r="G5" s="4">
        <v>16</v>
      </c>
      <c r="H5" s="4">
        <v>2</v>
      </c>
      <c r="I5" s="4" t="b">
        <v>0</v>
      </c>
      <c r="J5" s="2" t="b">
        <v>1</v>
      </c>
      <c r="K5" s="4">
        <v>80</v>
      </c>
    </row>
    <row r="6" spans="1:11">
      <c r="A6" s="1">
        <v>4</v>
      </c>
      <c r="B6" s="5" t="s">
        <v>46</v>
      </c>
      <c r="C6" s="4">
        <v>32</v>
      </c>
      <c r="D6" s="2">
        <v>64</v>
      </c>
      <c r="E6" s="4">
        <v>8</v>
      </c>
      <c r="F6" s="4">
        <v>16</v>
      </c>
      <c r="G6" s="4">
        <v>24</v>
      </c>
      <c r="H6" s="4">
        <v>5</v>
      </c>
      <c r="I6" s="4" t="b">
        <v>0</v>
      </c>
      <c r="J6" s="2" t="b">
        <v>1</v>
      </c>
      <c r="K6" s="4">
        <v>160</v>
      </c>
    </row>
    <row r="7" spans="1:11">
      <c r="A7" s="1">
        <v>5</v>
      </c>
      <c r="B7" s="3" t="s">
        <v>47</v>
      </c>
      <c r="C7" s="4">
        <v>48</v>
      </c>
      <c r="D7" s="2">
        <v>64</v>
      </c>
      <c r="E7" s="4">
        <v>8</v>
      </c>
      <c r="F7" s="4">
        <v>16</v>
      </c>
      <c r="G7" s="4">
        <v>32</v>
      </c>
      <c r="H7" s="4">
        <v>4</v>
      </c>
      <c r="I7" s="4" t="b">
        <v>1</v>
      </c>
      <c r="J7" s="2" t="b">
        <v>1</v>
      </c>
      <c r="K7" s="4">
        <v>320</v>
      </c>
    </row>
    <row r="8" spans="1:11">
      <c r="A8" s="1">
        <v>6</v>
      </c>
      <c r="B8" s="5" t="s">
        <v>48</v>
      </c>
      <c r="C8" s="4">
        <v>64</v>
      </c>
      <c r="D8" s="2">
        <v>64</v>
      </c>
      <c r="E8" s="4">
        <v>8</v>
      </c>
      <c r="F8" s="4">
        <v>16</v>
      </c>
      <c r="G8" s="4">
        <v>40</v>
      </c>
      <c r="H8" s="4">
        <v>7</v>
      </c>
      <c r="I8" s="4" t="b">
        <v>0</v>
      </c>
      <c r="J8" s="2" t="b">
        <v>1</v>
      </c>
      <c r="K8" s="4">
        <v>640</v>
      </c>
    </row>
    <row r="9" spans="1:11">
      <c r="A9" s="1">
        <v>7</v>
      </c>
      <c r="B9" s="3" t="s">
        <v>49</v>
      </c>
      <c r="C9" s="4">
        <v>56</v>
      </c>
      <c r="D9" s="2">
        <v>64</v>
      </c>
      <c r="E9" s="4">
        <v>8</v>
      </c>
      <c r="F9" s="4">
        <v>16</v>
      </c>
      <c r="G9" s="4">
        <v>48</v>
      </c>
      <c r="H9" s="4">
        <v>6</v>
      </c>
      <c r="I9" s="4" t="b">
        <v>1</v>
      </c>
      <c r="J9" s="2" t="b">
        <v>1</v>
      </c>
      <c r="K9" s="4">
        <v>1280</v>
      </c>
    </row>
    <row r="10" spans="1:11">
      <c r="A10" s="1">
        <v>8</v>
      </c>
      <c r="B10" s="5" t="s">
        <v>50</v>
      </c>
      <c r="C10" s="4">
        <v>80</v>
      </c>
      <c r="D10" s="2">
        <v>64</v>
      </c>
      <c r="E10" s="4">
        <v>8</v>
      </c>
      <c r="F10" s="4">
        <v>16</v>
      </c>
      <c r="G10" s="4">
        <v>60</v>
      </c>
      <c r="H10" s="4">
        <v>10</v>
      </c>
      <c r="I10" s="4" t="b">
        <v>1</v>
      </c>
      <c r="J10" s="2" t="b">
        <v>1</v>
      </c>
      <c r="K10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A8" sqref="A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51</v>
      </c>
      <c r="C2" s="2">
        <v>24</v>
      </c>
      <c r="D2" s="2">
        <v>32</v>
      </c>
      <c r="E2" s="2">
        <v>8</v>
      </c>
      <c r="F2" s="2">
        <v>16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52</v>
      </c>
      <c r="C3" s="4">
        <v>32</v>
      </c>
      <c r="D3" s="4">
        <v>32</v>
      </c>
      <c r="E3" s="4">
        <v>8</v>
      </c>
      <c r="F3" s="4">
        <v>16</v>
      </c>
      <c r="G3" s="4">
        <v>8</v>
      </c>
      <c r="H3" s="4">
        <v>4</v>
      </c>
      <c r="I3" s="4">
        <v>160</v>
      </c>
    </row>
    <row r="4" spans="1:9">
      <c r="A4" s="1">
        <v>2</v>
      </c>
      <c r="B4" s="4" t="s">
        <v>53</v>
      </c>
      <c r="C4" s="4">
        <v>40</v>
      </c>
      <c r="D4" s="4">
        <v>32</v>
      </c>
      <c r="E4" s="4">
        <v>8</v>
      </c>
      <c r="F4" s="4">
        <v>16</v>
      </c>
      <c r="G4" s="4">
        <v>16</v>
      </c>
      <c r="H4" s="4">
        <v>8</v>
      </c>
      <c r="I4" s="4">
        <v>640</v>
      </c>
    </row>
    <row r="5" spans="1:9">
      <c r="A5" s="1">
        <v>3</v>
      </c>
      <c r="B5" s="4" t="s">
        <v>54</v>
      </c>
      <c r="C5" s="4">
        <v>48</v>
      </c>
      <c r="D5" s="4">
        <v>32</v>
      </c>
      <c r="E5" s="4">
        <v>8</v>
      </c>
      <c r="F5" s="4">
        <v>16</v>
      </c>
      <c r="G5" s="4">
        <v>32</v>
      </c>
      <c r="H5" s="4">
        <v>16</v>
      </c>
      <c r="I5" s="4">
        <v>2560</v>
      </c>
    </row>
    <row r="6" spans="1:9">
      <c r="A6" s="1">
        <v>4</v>
      </c>
      <c r="B6" s="5" t="s">
        <v>55</v>
      </c>
      <c r="C6" s="4">
        <v>56</v>
      </c>
      <c r="D6" s="4">
        <v>32</v>
      </c>
      <c r="E6" s="4">
        <v>8</v>
      </c>
      <c r="F6" s="4">
        <v>16</v>
      </c>
      <c r="G6" s="4">
        <v>64</v>
      </c>
      <c r="H6" s="4">
        <v>32</v>
      </c>
      <c r="I6" s="4">
        <v>10240</v>
      </c>
    </row>
    <row r="7" spans="1:9">
      <c r="A7" s="1">
        <v>5</v>
      </c>
      <c r="B7" s="3" t="s">
        <v>56</v>
      </c>
      <c r="C7" s="4">
        <v>72</v>
      </c>
      <c r="D7" s="4">
        <v>32</v>
      </c>
      <c r="E7" s="4">
        <v>8</v>
      </c>
      <c r="F7" s="4">
        <v>16</v>
      </c>
      <c r="G7" s="4">
        <v>128</v>
      </c>
      <c r="H7" s="4">
        <v>0</v>
      </c>
      <c r="I7" s="4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B5" sqref="B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69</v>
      </c>
      <c r="C2" s="2">
        <v>128</v>
      </c>
      <c r="D2" s="2">
        <v>40</v>
      </c>
      <c r="E2" s="2">
        <v>8</v>
      </c>
      <c r="F2" s="2">
        <v>8</v>
      </c>
      <c r="G2" s="2">
        <v>2</v>
      </c>
      <c r="H2" s="2">
        <v>2</v>
      </c>
      <c r="I2" s="2">
        <v>30</v>
      </c>
    </row>
    <row r="3" spans="1:9">
      <c r="A3" s="1">
        <v>1</v>
      </c>
      <c r="B3" s="4" t="s">
        <v>70</v>
      </c>
      <c r="C3" s="4">
        <v>136</v>
      </c>
      <c r="D3" s="4">
        <v>40</v>
      </c>
      <c r="E3" s="4">
        <v>8</v>
      </c>
      <c r="F3" s="4">
        <v>8</v>
      </c>
      <c r="G3" s="4">
        <v>8</v>
      </c>
      <c r="H3" s="4">
        <v>8</v>
      </c>
      <c r="I3" s="4">
        <v>270</v>
      </c>
    </row>
    <row r="4" spans="1:9">
      <c r="A4" s="1">
        <v>2</v>
      </c>
      <c r="B4" s="4" t="s">
        <v>71</v>
      </c>
      <c r="C4" s="4">
        <v>144</v>
      </c>
      <c r="D4" s="4">
        <v>40</v>
      </c>
      <c r="E4" s="4">
        <v>8</v>
      </c>
      <c r="F4" s="4">
        <v>8</v>
      </c>
      <c r="G4" s="4">
        <v>24</v>
      </c>
      <c r="H4" s="4">
        <v>24</v>
      </c>
      <c r="I4" s="4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B3" sqref="B3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72</v>
      </c>
      <c r="C2" s="2">
        <v>128</v>
      </c>
      <c r="D2" s="2">
        <v>32</v>
      </c>
      <c r="E2" s="2">
        <v>8</v>
      </c>
      <c r="F2" s="2">
        <v>8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67</v>
      </c>
      <c r="C3" s="4">
        <v>136</v>
      </c>
      <c r="D3" s="4">
        <v>32</v>
      </c>
      <c r="E3" s="4">
        <v>8</v>
      </c>
      <c r="F3" s="4">
        <v>8</v>
      </c>
      <c r="G3" s="4">
        <v>16</v>
      </c>
      <c r="H3" s="4">
        <v>8</v>
      </c>
      <c r="I3" s="4">
        <v>320</v>
      </c>
    </row>
    <row r="4" spans="1:9">
      <c r="A4" s="1">
        <v>2</v>
      </c>
      <c r="B4" s="4" t="s">
        <v>68</v>
      </c>
      <c r="C4" s="4">
        <v>144</v>
      </c>
      <c r="D4" s="4">
        <v>32</v>
      </c>
      <c r="E4" s="4">
        <v>8</v>
      </c>
      <c r="F4" s="4">
        <v>8</v>
      </c>
      <c r="G4" s="4">
        <v>32</v>
      </c>
      <c r="H4" s="4">
        <v>16</v>
      </c>
      <c r="I4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BATTLE</vt:lpstr>
      <vt:lpstr>MONSTER</vt:lpstr>
      <vt:lpstr>WEAPON</vt:lpstr>
      <vt:lpstr>ARMOR</vt:lpstr>
      <vt:lpstr>SHIELD</vt:lpstr>
      <vt:lpstr>HELMET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2021-04-11T03:18:53Z</dcterms:modified>
</cp:coreProperties>
</file>