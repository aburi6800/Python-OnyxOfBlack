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Development\git\Python-OnyxOfBlack\documents\"/>
    </mc:Choice>
  </mc:AlternateContent>
  <xr:revisionPtr revIDLastSave="0" documentId="13_ncr:1_{7C493B59-7AA3-4ABF-A446-AFE603B5AB8F}" xr6:coauthVersionLast="45" xr6:coauthVersionMax="45" xr10:uidLastSave="{00000000-0000-0000-0000-000000000000}"/>
  <bookViews>
    <workbookView xWindow="840" yWindow="-120" windowWidth="28080" windowHeight="16440" xr2:uid="{00000000-000D-0000-FFFF-FFFF00000000}"/>
  </bookViews>
  <sheets>
    <sheet name="BATTLE" sheetId="6" r:id="rId1"/>
    <sheet name="MONSTER" sheetId="2" r:id="rId2"/>
    <sheet name="WEAPON" sheetId="4" r:id="rId3"/>
    <sheet name="ARMOR" sheetId="5" r:id="rId4"/>
    <sheet name="SHIELD" sheetId="7" r:id="rId5"/>
    <sheet name="HELMET" sheetId="8" r:id="rId6"/>
  </sheets>
  <definedNames>
    <definedName name="_xlnm._FilterDatabase" localSheetId="3" hidden="1">ARMOR!$A$1:$A$7</definedName>
    <definedName name="_xlnm._FilterDatabase" localSheetId="5" hidden="1">HELMET!$A$1:$A$4</definedName>
    <definedName name="_xlnm._FilterDatabase" localSheetId="1" hidden="1">MONSTER!$A$1:$B$21</definedName>
    <definedName name="_xlnm._FilterDatabase" localSheetId="4" hidden="1">SHIELD!$A$1:$A$4</definedName>
    <definedName name="_xlnm._FilterDatabase" localSheetId="2" hidden="1">WEAPON!$A$1:$A$10</definedName>
    <definedName name="ExternalData_1" localSheetId="3" hidden="1">ARMOR!$B$1:$I$7</definedName>
    <definedName name="ExternalData_1" localSheetId="5" hidden="1">HELMET!$B$1:$I$4</definedName>
    <definedName name="ExternalData_1" localSheetId="1" hidden="1">MONSTER!$C$1:$P$21</definedName>
    <definedName name="ExternalData_1" localSheetId="4" hidden="1">SHIELD!$B$1:$I$4</definedName>
    <definedName name="ExternalData_1" localSheetId="2" hidden="1">WEAPON!$B$1:$K$10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6" l="1"/>
  <c r="C5" i="6"/>
  <c r="C4" i="6" l="1"/>
  <c r="C3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DE4CED4-0594-4AD9-AD6F-C00B62CD69F2}" keepAlive="1" name="クエリ - header" description="ブック内の 'header' クエリへの接続です。" type="5" refreshedVersion="6" background="1" saveData="1">
    <dbPr connection="Provider=Microsoft.Mashup.OleDb.1;Data Source=$Workbook$;Location=header;Extended Properties=&quot;&quot;" command="SELECT * FROM [header]"/>
  </connection>
  <connection id="2" xr16:uid="{5CBE3843-5E99-43A4-A109-42FECF1384A5}" keepAlive="1" name="クエリ - header (2)" description="ブック内の 'header (2)' クエリへの接続です。" type="5" refreshedVersion="6" background="1" saveData="1">
    <dbPr connection="Provider=Microsoft.Mashup.OleDb.1;Data Source=$Workbook$;Location=&quot;header (2)&quot;;Extended Properties=&quot;&quot;" command="SELECT * FROM [header (2)]"/>
  </connection>
  <connection id="3" xr16:uid="{E412F29B-A25E-4615-A332-F0BED1E3C5C5}" keepAlive="1" name="クエリ - header (3)" description="ブック内の 'header (3)' クエリへの接続です。" type="5" refreshedVersion="6" background="1" saveData="1">
    <dbPr connection="Provider=Microsoft.Mashup.OleDb.1;Data Source=$Workbook$;Location=&quot;header (3)&quot;;Extended Properties=&quot;&quot;" command="SELECT * FROM [header (3)]"/>
  </connection>
  <connection id="4" xr16:uid="{A5647A66-49EB-4794-9144-8AEBACDCB206}" keepAlive="1" name="クエリ - header (4)" description="ブック内の 'header (4)' クエリへの接続です。" type="5" refreshedVersion="6" background="1" saveData="1">
    <dbPr connection="Provider=Microsoft.Mashup.OleDb.1;Data Source=$Workbook$;Location=&quot;header (4)&quot;;Extended Properties=&quot;&quot;" command="SELECT * FROM [header (4)]"/>
  </connection>
  <connection id="5" xr16:uid="{3BB64EF4-84A7-43DB-8CDD-3469A8D26674}" keepAlive="1" name="クエリ - header (5)" description="ブック内の 'header (5)' クエリへの接続です。" type="5" refreshedVersion="6" background="1" saveData="1">
    <dbPr connection="Provider=Microsoft.Mashup.OleDb.1;Data Source=$Workbook$;Location=&quot;header (5)&quot;;Extended Properties=&quot;&quot;" command="SELECT * FROM [header (5)]"/>
  </connection>
</connections>
</file>

<file path=xl/sharedStrings.xml><?xml version="1.0" encoding="utf-8"?>
<sst xmlns="http://schemas.openxmlformats.org/spreadsheetml/2006/main" count="119" uniqueCount="83">
  <si>
    <t>NAME</t>
  </si>
  <si>
    <t xml:space="preserve"> BLT_X</t>
  </si>
  <si>
    <t xml:space="preserve"> BLT_Y</t>
  </si>
  <si>
    <t xml:space="preserve"> BLT_W</t>
  </si>
  <si>
    <t xml:space="preserve"> BLT_H</t>
  </si>
  <si>
    <t xml:space="preserve"> LIFE</t>
  </si>
  <si>
    <t xml:space="preserve"> STRENGTH</t>
  </si>
  <si>
    <t xml:space="preserve"> DEFEND</t>
  </si>
  <si>
    <t xml:space="preserve"> DEXTERITY</t>
  </si>
  <si>
    <t xml:space="preserve"> EXP</t>
  </si>
  <si>
    <t xml:space="preserve"> GOLD</t>
  </si>
  <si>
    <t xml:space="preserve"> OCCR_MIN</t>
  </si>
  <si>
    <t xml:space="preserve"> OCCR_MAX</t>
  </si>
  <si>
    <t xml:space="preserve"> ESCAPE</t>
  </si>
  <si>
    <t>BAT</t>
    <phoneticPr fontId="1"/>
  </si>
  <si>
    <t>COBOLD</t>
    <phoneticPr fontId="1"/>
  </si>
  <si>
    <t>SKELTON</t>
    <phoneticPr fontId="1"/>
  </si>
  <si>
    <t>ZOMBIE</t>
    <phoneticPr fontId="1"/>
  </si>
  <si>
    <t>AZTEC</t>
    <phoneticPr fontId="1"/>
  </si>
  <si>
    <t>GOBLIN</t>
    <phoneticPr fontId="1"/>
  </si>
  <si>
    <t>推奨レベル</t>
    <rPh sb="0" eb="2">
      <t>スイショウ</t>
    </rPh>
    <phoneticPr fontId="1"/>
  </si>
  <si>
    <t>WOLF</t>
    <phoneticPr fontId="1"/>
  </si>
  <si>
    <t>LION</t>
    <phoneticPr fontId="1"/>
  </si>
  <si>
    <t>SLIME</t>
    <phoneticPr fontId="1"/>
  </si>
  <si>
    <t>SPIDER</t>
    <phoneticPr fontId="1"/>
  </si>
  <si>
    <t>GHOUL</t>
    <phoneticPr fontId="1"/>
  </si>
  <si>
    <t>KEY</t>
    <phoneticPr fontId="1"/>
  </si>
  <si>
    <t>BAT_LV1</t>
    <phoneticPr fontId="1"/>
  </si>
  <si>
    <t>BAT_LV2</t>
    <phoneticPr fontId="1"/>
  </si>
  <si>
    <t>COBOLD_LV1</t>
    <phoneticPr fontId="1"/>
  </si>
  <si>
    <t>SKELTON_LV1</t>
    <phoneticPr fontId="1"/>
  </si>
  <si>
    <t>ZOMBIE_LV1</t>
    <phoneticPr fontId="1"/>
  </si>
  <si>
    <t>COBOLD_LV2</t>
    <phoneticPr fontId="1"/>
  </si>
  <si>
    <t>SKELTON_LV2</t>
    <phoneticPr fontId="1"/>
  </si>
  <si>
    <t>ZOMBIE_LV2</t>
    <phoneticPr fontId="1"/>
  </si>
  <si>
    <t>AZTEC_LV1</t>
    <phoneticPr fontId="1"/>
  </si>
  <si>
    <t>GOBLIN_LV1</t>
    <phoneticPr fontId="1"/>
  </si>
  <si>
    <t>AZTEC_LV2</t>
    <phoneticPr fontId="1"/>
  </si>
  <si>
    <t>GOBLIN_LV2</t>
    <phoneticPr fontId="1"/>
  </si>
  <si>
    <t>WOLF_LV1</t>
    <phoneticPr fontId="1"/>
  </si>
  <si>
    <t>LION_LV1</t>
    <phoneticPr fontId="1"/>
  </si>
  <si>
    <t>SLIME_LV1</t>
    <phoneticPr fontId="1"/>
  </si>
  <si>
    <t>WOLF_LV2</t>
    <phoneticPr fontId="1"/>
  </si>
  <si>
    <t>LION_LV2</t>
    <phoneticPr fontId="1"/>
  </si>
  <si>
    <t>SLIME_LV2</t>
    <phoneticPr fontId="1"/>
  </si>
  <si>
    <t>SPIDER_LV1</t>
    <phoneticPr fontId="1"/>
  </si>
  <si>
    <t>GHOUL_LV1</t>
    <phoneticPr fontId="1"/>
  </si>
  <si>
    <t>KNIFE</t>
    <phoneticPr fontId="1"/>
  </si>
  <si>
    <t>isDoubleHand</t>
    <phoneticPr fontId="1"/>
  </si>
  <si>
    <t>Attack</t>
    <phoneticPr fontId="1"/>
  </si>
  <si>
    <t>Price</t>
    <phoneticPr fontId="1"/>
  </si>
  <si>
    <t>CLUB</t>
    <phoneticPr fontId="1"/>
  </si>
  <si>
    <t>MACE</t>
    <phoneticPr fontId="1"/>
  </si>
  <si>
    <t>SHORT SWORD</t>
  </si>
  <si>
    <t>AXE</t>
    <phoneticPr fontId="1"/>
  </si>
  <si>
    <t>SPEAR</t>
    <phoneticPr fontId="1"/>
  </si>
  <si>
    <t>BROAD SWORD</t>
    <phoneticPr fontId="1"/>
  </si>
  <si>
    <t>CLAYMORE</t>
    <phoneticPr fontId="1"/>
  </si>
  <si>
    <t>BATTLE AXE</t>
    <phoneticPr fontId="1"/>
  </si>
  <si>
    <t>LEATHER</t>
  </si>
  <si>
    <t>HAUBERK</t>
  </si>
  <si>
    <t>HALF PLATE</t>
  </si>
  <si>
    <t>FULL PLATE</t>
  </si>
  <si>
    <t>TABARD</t>
  </si>
  <si>
    <t>MAGIC MANTLE</t>
  </si>
  <si>
    <t>Weight</t>
    <phoneticPr fontId="1"/>
  </si>
  <si>
    <t>isBlade</t>
    <phoneticPr fontId="1"/>
  </si>
  <si>
    <t>Weight</t>
    <phoneticPr fontId="1"/>
  </si>
  <si>
    <t>Armor</t>
    <phoneticPr fontId="1"/>
  </si>
  <si>
    <t>PLAYER LEVEL</t>
    <phoneticPr fontId="1"/>
  </si>
  <si>
    <t>MONSTER</t>
    <phoneticPr fontId="1"/>
  </si>
  <si>
    <t>WEAPON</t>
    <phoneticPr fontId="1"/>
  </si>
  <si>
    <t>ARMOR</t>
    <phoneticPr fontId="1"/>
  </si>
  <si>
    <t>SHIELD</t>
    <phoneticPr fontId="1"/>
  </si>
  <si>
    <t>HELMET</t>
    <phoneticPr fontId="1"/>
  </si>
  <si>
    <t>WINGED HELM</t>
  </si>
  <si>
    <t>HORNED HELM</t>
  </si>
  <si>
    <t>AZTEC_LV2</t>
  </si>
  <si>
    <t>S SHIELD</t>
    <phoneticPr fontId="1"/>
  </si>
  <si>
    <t>M SHIELD</t>
    <phoneticPr fontId="1"/>
  </si>
  <si>
    <t>L SHIELD</t>
    <phoneticPr fontId="1"/>
  </si>
  <si>
    <t>CHAIN COIF</t>
    <phoneticPr fontId="1"/>
  </si>
  <si>
    <t>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</si>
</sst>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9" tint="0.39997558519241921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0" fontId="2" fillId="2" borderId="2" xfId="0" applyFont="1" applyFill="1" applyBorder="1"/>
    <xf numFmtId="0" fontId="0" fillId="3" borderId="2" xfId="0" applyNumberFormat="1" applyFont="1" applyFill="1" applyBorder="1"/>
    <xf numFmtId="0" fontId="0" fillId="0" borderId="2" xfId="0" applyNumberFormat="1" applyFont="1" applyBorder="1"/>
    <xf numFmtId="0" fontId="0" fillId="3" borderId="3" xfId="0" applyNumberFormat="1" applyFont="1" applyFill="1" applyBorder="1"/>
    <xf numFmtId="0" fontId="0" fillId="0" borderId="3" xfId="0" applyNumberFormat="1" applyFont="1" applyBorder="1"/>
    <xf numFmtId="0" fontId="0" fillId="0" borderId="4" xfId="0" applyNumberFormat="1" applyBorder="1"/>
    <xf numFmtId="0" fontId="0" fillId="0" borderId="5" xfId="0" applyNumberFormat="1" applyFont="1" applyBorder="1"/>
    <xf numFmtId="0" fontId="0" fillId="0" borderId="6" xfId="0" applyNumberFormat="1" applyBorder="1"/>
    <xf numFmtId="0" fontId="0" fillId="3" borderId="5" xfId="0" applyNumberFormat="1" applyFont="1" applyFill="1" applyBorder="1"/>
    <xf numFmtId="49" fontId="0" fillId="0" borderId="0" xfId="0" applyNumberFormat="1"/>
    <xf numFmtId="0" fontId="0" fillId="0" borderId="9" xfId="0" applyBorder="1"/>
    <xf numFmtId="49" fontId="0" fillId="4" borderId="8" xfId="0" applyNumberFormat="1" applyFill="1" applyBorder="1"/>
    <xf numFmtId="0" fontId="0" fillId="5" borderId="7" xfId="0" applyFill="1" applyBorder="1"/>
    <xf numFmtId="49" fontId="0" fillId="4" borderId="8" xfId="0" applyNumberFormat="1" applyFill="1" applyBorder="1" applyAlignment="1"/>
    <xf numFmtId="0" fontId="0" fillId="4" borderId="9" xfId="0" applyFill="1" applyBorder="1" applyAlignment="1"/>
  </cellXfs>
  <cellStyles count="1">
    <cellStyle name="標準" xfId="0" builtinId="0"/>
  </cellStyles>
  <dxfs count="49"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/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  <border diagonalUp="0" diagonalDown="0">
        <left style="thin">
          <color theme="9" tint="0.39997558519241921"/>
        </left>
        <right/>
        <top style="thin">
          <color theme="9" tint="0.39994506668294322"/>
        </top>
        <bottom style="thin">
          <color theme="9" tint="0.39994506668294322"/>
        </bottom>
        <vertical/>
        <horizontal style="thin">
          <color theme="9" tint="0.39994506668294322"/>
        </horizontal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3</xdr:col>
      <xdr:colOff>0</xdr:colOff>
      <xdr:row>9</xdr:row>
      <xdr:rowOff>0</xdr:rowOff>
    </xdr:to>
    <xdr:sp macro="[0]!executeBatt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1D5F8D4-777B-439F-B8E0-F6F57445F864}"/>
            </a:ext>
          </a:extLst>
        </xdr:cNvPr>
        <xdr:cNvSpPr/>
      </xdr:nvSpPr>
      <xdr:spPr>
        <a:xfrm>
          <a:off x="0" y="1666875"/>
          <a:ext cx="3067050" cy="4762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/>
            <a:t>START BATTLE</a:t>
          </a:r>
          <a:endParaRPr kumimoji="1" lang="ja-JP" altLang="en-US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Monste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DDA195C1-DC8E-4BA9-A25F-56A849EA3B84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Weapon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5CDD8FC-4668-487D-84E2-01A615CA2E5E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Armor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1DD93454-EA37-44A6-B817-07C397EB8138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Shield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563EA852-55D9-49B5-91B9-74CE95ADE385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sp macro="[0]!makeHelmetParams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E09D2C4-8B93-41A8-AE46-BD5BEF819E09}"/>
            </a:ext>
          </a:extLst>
        </xdr:cNvPr>
        <xdr:cNvSpPr/>
      </xdr:nvSpPr>
      <xdr:spPr>
        <a:xfrm>
          <a:off x="0" y="0"/>
          <a:ext cx="685800" cy="2381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MAKE</a:t>
          </a:r>
          <a:endParaRPr kumimoji="1" lang="ja-JP" altLang="en-US" sz="1100" b="1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89264DF-7651-4042-A219-91250166E7E8}" autoFormatId="20" applyNumberFormats="0" applyBorderFormats="0" applyFontFormats="0" applyPatternFormats="0" applyAlignmentFormats="0" applyWidthHeightFormats="0">
  <queryTableRefresh nextId="16" unboundColumnsRight="1">
    <queryTableFields count="1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99D6E0E-172D-45B0-9E86-B15EB14E68F0}" autoFormatId="20" applyNumberFormats="0" applyBorderFormats="0" applyFontFormats="0" applyPatternFormats="0" applyAlignmentFormats="0" applyWidthHeightFormats="0">
  <queryTableRefresh nextId="18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7" name="Column7" tableColumnId="7"/>
      <queryTableField id="17" dataBound="0" tableColumnId="10"/>
      <queryTableField id="8" name="Column8" tableColumnId="8"/>
    </queryTableFields>
    <queryTableDeletedFields count="6">
      <deletedField name="Column9"/>
      <deletedField name="Column10"/>
      <deletedField name="Column11"/>
      <deletedField name="Column12"/>
      <deletedField name="Column13"/>
      <deletedField name="Column14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B91F290-717B-40B9-8DD0-479581E8ED68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D3EEAB83-5B7C-4D8E-B060-0C4BC37B77BB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0ABE9E5-A723-447A-A71F-3DA7353D837E}" autoFormatId="20" applyNumberFormats="0" applyBorderFormats="0" applyFontFormats="0" applyPatternFormats="0" applyAlignmentFormats="0" applyWidthHeightFormats="0">
  <queryTableRefresh nextId="17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16" dataBound="0" tableColumnId="9"/>
      <queryTableField id="8" name="Column8" tableColumnId="8"/>
    </queryTableFields>
    <queryTableDeletedFields count="7">
      <deletedField name="Column9"/>
      <deletedField name="Column10"/>
      <deletedField name="Column11"/>
      <deletedField name="Column12"/>
      <deletedField name="Column13"/>
      <deletedField name="Column14"/>
      <deletedField name="Column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A5B6BA-7F42-43DE-B1D6-DECFB2F8163E}" name="header" displayName="header" ref="C1:Q21" tableType="queryTable" totalsRowShown="0">
  <autoFilter ref="C1:Q21" xr:uid="{42726F43-6F6B-4B30-840A-A185840E497D}"/>
  <tableColumns count="15">
    <tableColumn id="1" xr3:uid="{7C484D3A-70F8-4295-8651-82260319541F}" uniqueName="1" name="NAME" queryTableFieldId="1" dataDxfId="48"/>
    <tableColumn id="2" xr3:uid="{3292D013-68E1-4DBC-85C5-02A57F70E9CA}" uniqueName="2" name=" BLT_X" queryTableFieldId="2" dataDxfId="47"/>
    <tableColumn id="3" xr3:uid="{060D9C03-0E80-4085-B4CB-5563379727DB}" uniqueName="3" name=" BLT_Y" queryTableFieldId="3" dataDxfId="46"/>
    <tableColumn id="4" xr3:uid="{A2EB4658-1E4A-451D-8A11-14B0559AE5A1}" uniqueName="4" name=" BLT_W" queryTableFieldId="4" dataDxfId="45"/>
    <tableColumn id="5" xr3:uid="{480C5BD8-E50D-408B-801D-F03BCE114482}" uniqueName="5" name=" BLT_H" queryTableFieldId="5" dataDxfId="44"/>
    <tableColumn id="6" xr3:uid="{C596AB24-A6B5-4FF0-B20C-CAE503B93668}" uniqueName="6" name=" LIFE" queryTableFieldId="6" dataDxfId="43"/>
    <tableColumn id="7" xr3:uid="{D46BC361-B3F7-46D7-9AF8-0CA9CD77D71F}" uniqueName="7" name=" STRENGTH" queryTableFieldId="7" dataDxfId="42"/>
    <tableColumn id="8" xr3:uid="{0EA9C180-A008-4933-B4C7-3D4157B95237}" uniqueName="8" name=" DEFEND" queryTableFieldId="8" dataDxfId="41"/>
    <tableColumn id="9" xr3:uid="{D17931C2-77A7-4CC9-A6A6-DD9FF8E4FD78}" uniqueName="9" name=" DEXTERITY" queryTableFieldId="9" dataDxfId="40"/>
    <tableColumn id="10" xr3:uid="{3D4AD6CE-D211-43F1-846F-A1143FCF61DD}" uniqueName="10" name=" EXP" queryTableFieldId="10" dataDxfId="39"/>
    <tableColumn id="11" xr3:uid="{91063BF1-D9B6-4016-BDB4-CA70B3CC2726}" uniqueName="11" name=" GOLD" queryTableFieldId="11" dataDxfId="38"/>
    <tableColumn id="12" xr3:uid="{F047700F-65A4-44C6-BEE2-AF6DF97BF727}" uniqueName="12" name=" OCCR_MIN" queryTableFieldId="12" dataDxfId="37"/>
    <tableColumn id="13" xr3:uid="{E3EB7160-6CAB-4751-86B2-6894765FE2AA}" uniqueName="13" name=" OCCR_MAX" queryTableFieldId="13" dataDxfId="36"/>
    <tableColumn id="14" xr3:uid="{AF927E22-B766-4EBB-9D78-3B8747808679}" uniqueName="14" name=" ESCAPE" queryTableFieldId="14" dataDxfId="35"/>
    <tableColumn id="15" xr3:uid="{FB9F944D-1949-4473-99D3-DA80B1E4E0BE}" uniqueName="15" name="推奨レベル" queryTableFieldId="15" dataDxfId="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C99E4B-EE31-4955-B681-D5C162D55B16}" name="header3" displayName="header3" ref="B1:K10" tableType="queryTable" totalsRowShown="0">
  <tableColumns count="10">
    <tableColumn id="1" xr3:uid="{F795D939-1932-4EAF-978A-442EF5953424}" uniqueName="1" name="NAME" queryTableFieldId="1" dataDxfId="33"/>
    <tableColumn id="2" xr3:uid="{BD77354A-31FA-46EA-B999-1C11937BD8EB}" uniqueName="2" name=" BLT_X" queryTableFieldId="2" dataDxfId="32"/>
    <tableColumn id="3" xr3:uid="{20C3360A-B81B-47D3-BC99-0533D3B717A2}" uniqueName="3" name=" BLT_Y" queryTableFieldId="3" dataDxfId="31"/>
    <tableColumn id="4" xr3:uid="{3515D27B-1FD6-493B-9513-14E35C2A6A9C}" uniqueName="4" name=" BLT_W" queryTableFieldId="4" dataDxfId="30"/>
    <tableColumn id="5" xr3:uid="{00B0D69E-5495-4D1B-8DD1-D9EEDC86D3F5}" uniqueName="5" name=" BLT_H" queryTableFieldId="5" dataDxfId="29"/>
    <tableColumn id="6" xr3:uid="{A4D281F1-27D4-4AE3-BDB1-8B211D556E5E}" uniqueName="6" name="Attack" queryTableFieldId="6" dataDxfId="28"/>
    <tableColumn id="9" xr3:uid="{24DD905A-9C66-4FAB-9B79-A28C95F377B8}" uniqueName="9" name="Weight" queryTableFieldId="16" dataDxfId="27"/>
    <tableColumn id="7" xr3:uid="{D3D787A4-ECBE-407D-8C94-3BAE5476965B}" uniqueName="7" name="isDoubleHand" queryTableFieldId="7" dataDxfId="26"/>
    <tableColumn id="10" xr3:uid="{8CBAE5A0-30BB-4143-A5FC-A1E9023A52F9}" uniqueName="10" name="isBlade" queryTableFieldId="17" dataDxfId="25"/>
    <tableColumn id="8" xr3:uid="{15DD08B4-8779-4593-8615-3EB53EEB4E03}" uniqueName="8" name="Price" queryTableFieldId="8" dataDxf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1C16EF8-DF2B-4E7B-AE6B-11D955B77D65}" name="header34" displayName="header34" ref="B1:I7" tableType="queryTable" totalsRowShown="0">
  <tableColumns count="8">
    <tableColumn id="1" xr3:uid="{A57BEBA5-A132-4D82-B6D2-7DC85326F81C}" uniqueName="1" name="NAME" queryTableFieldId="1" dataDxfId="23"/>
    <tableColumn id="2" xr3:uid="{180310E6-DDFB-4EB9-B20B-9FE0CB0F556D}" uniqueName="2" name=" BLT_X" queryTableFieldId="2" dataDxfId="22"/>
    <tableColumn id="3" xr3:uid="{6CED247C-861A-41BF-A01F-A70A4B4CFDEC}" uniqueName="3" name=" BLT_Y" queryTableFieldId="3" dataDxfId="21"/>
    <tableColumn id="4" xr3:uid="{B51726B4-41D4-466E-8B47-BE7D9B1F5588}" uniqueName="4" name=" BLT_W" queryTableFieldId="4" dataDxfId="20"/>
    <tableColumn id="5" xr3:uid="{9C1E4EB3-F964-4FA3-91D3-ADEC1C587B08}" uniqueName="5" name=" BLT_H" queryTableFieldId="5" dataDxfId="19"/>
    <tableColumn id="6" xr3:uid="{C7D33BB3-5650-4609-9F50-2B3C7EEAE919}" uniqueName="6" name="Armor" queryTableFieldId="6" dataDxfId="18"/>
    <tableColumn id="9" xr3:uid="{395E9484-FEB0-4F81-A760-22BA0C175294}" uniqueName="9" name="Weight" queryTableFieldId="16" dataDxfId="17"/>
    <tableColumn id="8" xr3:uid="{E24E9357-6439-4F84-82D7-5129641490D6}" uniqueName="8" name="Price" queryTableFieldId="8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D8C482-004C-4786-A45E-00D20A77AB59}" name="header345" displayName="header345" ref="B1:I4" tableType="queryTable" totalsRowShown="0">
  <tableColumns count="8">
    <tableColumn id="1" xr3:uid="{E9BB8594-A65F-4B92-B9B5-4A827ED87BEB}" uniqueName="1" name="NAME" queryTableFieldId="1" dataDxfId="15"/>
    <tableColumn id="2" xr3:uid="{DCC4F2A0-2132-49CF-A546-28337BC95034}" uniqueName="2" name=" BLT_X" queryTableFieldId="2" dataDxfId="14"/>
    <tableColumn id="3" xr3:uid="{D53AD210-23C1-45B9-B06A-86F341833EFE}" uniqueName="3" name=" BLT_Y" queryTableFieldId="3" dataDxfId="13"/>
    <tableColumn id="4" xr3:uid="{E8080D6B-68E1-463E-BAC6-30B18BF3F060}" uniqueName="4" name=" BLT_W" queryTableFieldId="4" dataDxfId="12"/>
    <tableColumn id="5" xr3:uid="{82EFD49C-DB35-4CDF-808F-D8557E2E7B7A}" uniqueName="5" name=" BLT_H" queryTableFieldId="5" dataDxfId="11"/>
    <tableColumn id="6" xr3:uid="{079BE852-8D88-4A09-A690-07E6AEA8B6C8}" uniqueName="6" name="Armor" queryTableFieldId="6" dataDxfId="10"/>
    <tableColumn id="9" xr3:uid="{A714AAFE-915F-4822-9600-9E594F02C39C}" uniqueName="9" name="Weight" queryTableFieldId="16" dataDxfId="9"/>
    <tableColumn id="8" xr3:uid="{501E0B10-AF02-4F85-9108-9B28EA6E57C2}" uniqueName="8" name="Price" queryTableFieldId="8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68B1FE-0157-40F5-B561-83A1A9B4820F}" name="header3456" displayName="header3456" ref="B1:I4" tableType="queryTable" totalsRowShown="0">
  <tableColumns count="8">
    <tableColumn id="1" xr3:uid="{5021ED9D-C01F-4376-88C8-8EDECF527155}" uniqueName="1" name="NAME" queryTableFieldId="1" dataDxfId="7"/>
    <tableColumn id="2" xr3:uid="{6AF0F6E5-6699-40AE-9DFC-6A923AA87316}" uniqueName="2" name=" BLT_X" queryTableFieldId="2" dataDxfId="6"/>
    <tableColumn id="3" xr3:uid="{B17C32E7-56C5-48FD-ACE7-018D21906DD8}" uniqueName="3" name=" BLT_Y" queryTableFieldId="3" dataDxfId="5"/>
    <tableColumn id="4" xr3:uid="{5EFE54BE-3657-43BF-92E9-73CA5182F185}" uniqueName="4" name=" BLT_W" queryTableFieldId="4" dataDxfId="4"/>
    <tableColumn id="5" xr3:uid="{AAFE07A7-91D3-40B0-A609-4A7A8496C069}" uniqueName="5" name=" BLT_H" queryTableFieldId="5" dataDxfId="3"/>
    <tableColumn id="6" xr3:uid="{05702071-A6BB-45B8-8DBD-8B47FDA61966}" uniqueName="6" name="Armor" queryTableFieldId="6" dataDxfId="2"/>
    <tableColumn id="9" xr3:uid="{4106DDDD-F7FF-4B9D-AFC3-D5ECD57DF1D7}" uniqueName="9" name="Weight" queryTableFieldId="16" dataDxfId="1"/>
    <tableColumn id="8" xr3:uid="{F9EB773F-8436-49E6-B866-FAE117B68B27}" uniqueName="8" name="Price" queryTableFieldId="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067D-1A16-490A-8854-CF9F97A5743D}">
  <sheetPr codeName="Sheet1"/>
  <dimension ref="A1:C6"/>
  <sheetViews>
    <sheetView showGridLines="0" tabSelected="1" workbookViewId="0">
      <selection activeCell="B11" sqref="B11"/>
    </sheetView>
  </sheetViews>
  <sheetFormatPr defaultRowHeight="18.75"/>
  <cols>
    <col min="1" max="1" width="15.5" bestFit="1" customWidth="1"/>
    <col min="2" max="2" width="5.5" style="13" customWidth="1"/>
    <col min="3" max="3" width="19.25" customWidth="1"/>
  </cols>
  <sheetData>
    <row r="1" spans="1:3">
      <c r="A1" s="16" t="s">
        <v>70</v>
      </c>
      <c r="B1" s="17" t="s">
        <v>77</v>
      </c>
      <c r="C1" s="18"/>
    </row>
    <row r="2" spans="1:3">
      <c r="A2" s="16" t="s">
        <v>69</v>
      </c>
      <c r="B2" s="17" t="s">
        <v>82</v>
      </c>
      <c r="C2" s="18"/>
    </row>
    <row r="3" spans="1:3">
      <c r="A3" s="16" t="s">
        <v>71</v>
      </c>
      <c r="B3" s="15">
        <v>4</v>
      </c>
      <c r="C3" s="14" t="str">
        <f>"(" &amp; IF(B3 = "", "NONE",VLOOKUP(B3,WEAPON!A2:B10,2,FALSE)) &amp; ")"</f>
        <v>(AXE)</v>
      </c>
    </row>
    <row r="4" spans="1:3">
      <c r="A4" s="16" t="s">
        <v>72</v>
      </c>
      <c r="B4" s="15">
        <v>1</v>
      </c>
      <c r="C4" s="14" t="str">
        <f>"(" &amp; IF(B4="","NONE",VLOOKUP(B4,ARMOR!A2:B7,2,FALSE)) &amp; ")"</f>
        <v>(HAUBERK)</v>
      </c>
    </row>
    <row r="5" spans="1:3">
      <c r="A5" s="16" t="s">
        <v>73</v>
      </c>
      <c r="B5" s="15">
        <v>0</v>
      </c>
      <c r="C5" s="14" t="str">
        <f>"(" &amp; IF(B5="","NONE",VLOOKUP(B5,SHIELD!A2:B7,2,FALSE)) &amp; ")"</f>
        <v>(S SHIELD)</v>
      </c>
    </row>
    <row r="6" spans="1:3">
      <c r="A6" s="16" t="s">
        <v>74</v>
      </c>
      <c r="B6" s="15">
        <v>0</v>
      </c>
      <c r="C6" s="14" t="str">
        <f>"(" &amp; IF(B6="","NONE",VLOOKUP(B6,HELMET!A2:B7,2,FALSE)) &amp; ")"</f>
        <v>(CHAIN COIF)</v>
      </c>
    </row>
  </sheetData>
  <dataConsolidate/>
  <mergeCells count="2">
    <mergeCell ref="B1:C1"/>
    <mergeCell ref="B2:C2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2FDD158-0789-43AF-81D3-4F9DBC40584F}">
          <x14:formula1>
            <xm:f>MONSTER!$B$2:$B$21</xm:f>
          </x14:formula1>
          <xm:sqref>B1</xm:sqref>
        </x14:dataValidation>
        <x14:dataValidation type="list" allowBlank="1" showInputMessage="1" showErrorMessage="1" xr:uid="{9BCE5918-2FC6-4672-9E92-FE577A178DE8}">
          <x14:formula1>
            <xm:f>WEAPON!$A:$A</xm:f>
          </x14:formula1>
          <xm:sqref>B3</xm:sqref>
        </x14:dataValidation>
        <x14:dataValidation type="list" allowBlank="1" showInputMessage="1" showErrorMessage="1" xr:uid="{6224907D-8D94-4BE3-BB67-2E33E58A6397}">
          <x14:formula1>
            <xm:f>ARMOR!$A:$A</xm:f>
          </x14:formula1>
          <xm:sqref>B4</xm:sqref>
        </x14:dataValidation>
        <x14:dataValidation type="list" allowBlank="1" showInputMessage="1" showErrorMessage="1" xr:uid="{BD1A23BC-3D3E-4DD1-A719-9A42E26E7526}">
          <x14:formula1>
            <xm:f>SHIELD!$A:$A</xm:f>
          </x14:formula1>
          <xm:sqref>B5</xm:sqref>
        </x14:dataValidation>
        <x14:dataValidation type="list" allowBlank="1" showInputMessage="1" showErrorMessage="1" xr:uid="{C3D64014-36E5-4FC2-9A63-250078172B63}">
          <x14:formula1>
            <xm:f>HELMET!$A:$A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12DD0-3962-4378-831B-0205C2AB14B3}">
  <sheetPr codeName="Sheet2"/>
  <dimension ref="A1:Q21"/>
  <sheetViews>
    <sheetView zoomScale="90" zoomScaleNormal="90" workbookViewId="0">
      <selection activeCell="C12" sqref="C12"/>
    </sheetView>
  </sheetViews>
  <sheetFormatPr defaultRowHeight="18.75"/>
  <cols>
    <col min="2" max="2" width="22.875" customWidth="1"/>
    <col min="3" max="3" width="24.625" customWidth="1"/>
    <col min="4" max="8" width="11.875" bestFit="1" customWidth="1"/>
    <col min="9" max="9" width="12.125" bestFit="1" customWidth="1"/>
    <col min="10" max="10" width="11.875" bestFit="1" customWidth="1"/>
    <col min="11" max="11" width="12.375" bestFit="1" customWidth="1"/>
    <col min="12" max="16" width="13.125" bestFit="1" customWidth="1"/>
    <col min="17" max="17" width="13.25" bestFit="1" customWidth="1"/>
  </cols>
  <sheetData>
    <row r="1" spans="1:17">
      <c r="B1" s="4" t="s">
        <v>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20</v>
      </c>
    </row>
    <row r="2" spans="1:17">
      <c r="A2">
        <v>1</v>
      </c>
      <c r="B2" s="5" t="s">
        <v>27</v>
      </c>
      <c r="C2" s="1" t="s">
        <v>14</v>
      </c>
      <c r="D2" s="1">
        <v>0</v>
      </c>
      <c r="E2" s="1">
        <v>0</v>
      </c>
      <c r="F2" s="1">
        <v>16</v>
      </c>
      <c r="G2" s="1">
        <v>8</v>
      </c>
      <c r="H2" s="1">
        <v>2</v>
      </c>
      <c r="I2" s="1">
        <v>2</v>
      </c>
      <c r="J2" s="1">
        <v>1</v>
      </c>
      <c r="K2" s="1">
        <v>7</v>
      </c>
      <c r="L2" s="1">
        <v>3</v>
      </c>
      <c r="M2" s="1">
        <v>0</v>
      </c>
      <c r="N2" s="1">
        <v>4</v>
      </c>
      <c r="O2" s="1">
        <v>10</v>
      </c>
      <c r="P2" s="1" t="b">
        <v>1</v>
      </c>
      <c r="Q2" s="1">
        <v>1</v>
      </c>
    </row>
    <row r="3" spans="1:17">
      <c r="A3">
        <v>2</v>
      </c>
      <c r="B3" s="6" t="s">
        <v>28</v>
      </c>
      <c r="C3" s="1" t="s">
        <v>14</v>
      </c>
      <c r="D3" s="1">
        <v>0</v>
      </c>
      <c r="E3" s="1">
        <v>0</v>
      </c>
      <c r="F3" s="1">
        <v>16</v>
      </c>
      <c r="G3" s="1">
        <v>8</v>
      </c>
      <c r="H3" s="1">
        <v>4</v>
      </c>
      <c r="I3" s="1">
        <v>4</v>
      </c>
      <c r="J3" s="1">
        <v>1</v>
      </c>
      <c r="K3" s="1">
        <v>8</v>
      </c>
      <c r="L3" s="1">
        <v>4</v>
      </c>
      <c r="M3" s="1">
        <v>0</v>
      </c>
      <c r="N3" s="1">
        <v>8</v>
      </c>
      <c r="O3" s="1">
        <v>20</v>
      </c>
      <c r="P3" s="1" t="b">
        <v>1</v>
      </c>
      <c r="Q3" s="1">
        <v>1</v>
      </c>
    </row>
    <row r="4" spans="1:17">
      <c r="A4">
        <v>3</v>
      </c>
      <c r="B4" s="5" t="s">
        <v>29</v>
      </c>
      <c r="C4" s="1" t="s">
        <v>15</v>
      </c>
      <c r="D4" s="1">
        <v>16</v>
      </c>
      <c r="E4" s="1">
        <v>0</v>
      </c>
      <c r="F4" s="1">
        <v>16</v>
      </c>
      <c r="G4" s="1">
        <v>16</v>
      </c>
      <c r="H4" s="1">
        <v>5</v>
      </c>
      <c r="I4" s="1">
        <v>5</v>
      </c>
      <c r="J4" s="1">
        <v>3</v>
      </c>
      <c r="K4" s="1">
        <v>4</v>
      </c>
      <c r="L4" s="1">
        <v>5</v>
      </c>
      <c r="M4" s="1">
        <v>2</v>
      </c>
      <c r="N4" s="1">
        <v>2</v>
      </c>
      <c r="O4" s="1">
        <v>5</v>
      </c>
      <c r="P4" s="1" t="b">
        <v>1</v>
      </c>
      <c r="Q4" s="1">
        <v>1</v>
      </c>
    </row>
    <row r="5" spans="1:17">
      <c r="A5">
        <v>4</v>
      </c>
      <c r="B5" s="6" t="s">
        <v>30</v>
      </c>
      <c r="C5" s="1" t="s">
        <v>16</v>
      </c>
      <c r="D5" s="1">
        <v>32</v>
      </c>
      <c r="E5" s="1">
        <v>0</v>
      </c>
      <c r="F5" s="1">
        <v>16</v>
      </c>
      <c r="G5" s="1">
        <v>16</v>
      </c>
      <c r="H5" s="1">
        <v>6</v>
      </c>
      <c r="I5" s="1">
        <v>4</v>
      </c>
      <c r="J5" s="1">
        <v>2</v>
      </c>
      <c r="K5" s="1">
        <v>3</v>
      </c>
      <c r="L5" s="1">
        <v>5</v>
      </c>
      <c r="M5" s="1">
        <v>1</v>
      </c>
      <c r="N5" s="1">
        <v>3</v>
      </c>
      <c r="O5" s="1">
        <v>5</v>
      </c>
      <c r="P5" s="1" t="b">
        <v>1</v>
      </c>
      <c r="Q5" s="1">
        <v>1</v>
      </c>
    </row>
    <row r="6" spans="1:17" ht="19.5" thickBot="1">
      <c r="A6">
        <v>5</v>
      </c>
      <c r="B6" s="7" t="s">
        <v>31</v>
      </c>
      <c r="C6" s="2" t="s">
        <v>17</v>
      </c>
      <c r="D6" s="2">
        <v>48</v>
      </c>
      <c r="E6" s="2">
        <v>0</v>
      </c>
      <c r="F6" s="2">
        <v>16</v>
      </c>
      <c r="G6" s="2">
        <v>16</v>
      </c>
      <c r="H6" s="2">
        <v>8</v>
      </c>
      <c r="I6" s="2">
        <v>5</v>
      </c>
      <c r="J6" s="2">
        <v>4</v>
      </c>
      <c r="K6" s="2">
        <v>1</v>
      </c>
      <c r="L6" s="2">
        <v>5</v>
      </c>
      <c r="M6" s="2">
        <v>0</v>
      </c>
      <c r="N6" s="2">
        <v>2</v>
      </c>
      <c r="O6" s="2">
        <v>5</v>
      </c>
      <c r="P6" s="2" t="b">
        <v>0</v>
      </c>
      <c r="Q6" s="2">
        <v>1</v>
      </c>
    </row>
    <row r="7" spans="1:17">
      <c r="A7">
        <v>6</v>
      </c>
      <c r="B7" s="6" t="s">
        <v>32</v>
      </c>
      <c r="C7" s="1" t="s">
        <v>15</v>
      </c>
      <c r="D7" s="1">
        <v>16</v>
      </c>
      <c r="E7" s="1">
        <v>0</v>
      </c>
      <c r="F7" s="1">
        <v>16</v>
      </c>
      <c r="G7" s="1">
        <v>16</v>
      </c>
      <c r="H7" s="1">
        <v>7</v>
      </c>
      <c r="I7" s="1">
        <v>7</v>
      </c>
      <c r="J7" s="1">
        <v>5</v>
      </c>
      <c r="K7" s="1">
        <v>5</v>
      </c>
      <c r="L7" s="1">
        <v>6</v>
      </c>
      <c r="M7" s="1">
        <v>2</v>
      </c>
      <c r="N7" s="1">
        <v>5</v>
      </c>
      <c r="O7" s="1">
        <v>10</v>
      </c>
      <c r="P7" s="1" t="b">
        <v>1</v>
      </c>
      <c r="Q7" s="1">
        <v>3</v>
      </c>
    </row>
    <row r="8" spans="1:17">
      <c r="A8">
        <v>7</v>
      </c>
      <c r="B8" s="5" t="s">
        <v>33</v>
      </c>
      <c r="C8" s="1" t="s">
        <v>16</v>
      </c>
      <c r="D8" s="1">
        <v>32</v>
      </c>
      <c r="E8" s="1">
        <v>0</v>
      </c>
      <c r="F8" s="1">
        <v>16</v>
      </c>
      <c r="G8" s="1">
        <v>16</v>
      </c>
      <c r="H8" s="1">
        <v>8</v>
      </c>
      <c r="I8" s="1">
        <v>6</v>
      </c>
      <c r="J8" s="1">
        <v>4</v>
      </c>
      <c r="K8" s="1">
        <v>4</v>
      </c>
      <c r="L8" s="1">
        <v>6</v>
      </c>
      <c r="M8" s="1">
        <v>1</v>
      </c>
      <c r="N8" s="1">
        <v>5</v>
      </c>
      <c r="O8" s="1">
        <v>10</v>
      </c>
      <c r="P8" s="1" t="b">
        <v>1</v>
      </c>
      <c r="Q8" s="1">
        <v>3</v>
      </c>
    </row>
    <row r="9" spans="1:17">
      <c r="A9">
        <v>8</v>
      </c>
      <c r="B9" s="6" t="s">
        <v>34</v>
      </c>
      <c r="C9" s="1" t="s">
        <v>17</v>
      </c>
      <c r="D9" s="1">
        <v>48</v>
      </c>
      <c r="E9" s="1">
        <v>0</v>
      </c>
      <c r="F9" s="1">
        <v>16</v>
      </c>
      <c r="G9" s="1">
        <v>16</v>
      </c>
      <c r="H9" s="1">
        <v>10</v>
      </c>
      <c r="I9" s="1">
        <v>7</v>
      </c>
      <c r="J9" s="1">
        <v>3</v>
      </c>
      <c r="K9" s="1">
        <v>2</v>
      </c>
      <c r="L9" s="1">
        <v>6</v>
      </c>
      <c r="M9" s="1">
        <v>0</v>
      </c>
      <c r="N9" s="1">
        <v>4</v>
      </c>
      <c r="O9" s="1">
        <v>8</v>
      </c>
      <c r="P9" s="1" t="b">
        <v>0</v>
      </c>
      <c r="Q9" s="1">
        <v>3</v>
      </c>
    </row>
    <row r="10" spans="1:17">
      <c r="A10">
        <v>9</v>
      </c>
      <c r="B10" s="5" t="s">
        <v>35</v>
      </c>
      <c r="C10" s="1" t="s">
        <v>18</v>
      </c>
      <c r="D10" s="1">
        <v>64</v>
      </c>
      <c r="E10" s="1">
        <v>0</v>
      </c>
      <c r="F10" s="1">
        <v>16</v>
      </c>
      <c r="G10" s="1">
        <v>16</v>
      </c>
      <c r="H10" s="1">
        <v>8</v>
      </c>
      <c r="I10" s="1">
        <v>12</v>
      </c>
      <c r="J10" s="1">
        <v>10</v>
      </c>
      <c r="K10" s="1">
        <v>6</v>
      </c>
      <c r="L10" s="1">
        <v>10</v>
      </c>
      <c r="M10" s="1">
        <v>20</v>
      </c>
      <c r="N10" s="1">
        <v>3</v>
      </c>
      <c r="O10" s="1">
        <v>5</v>
      </c>
      <c r="P10" s="1" t="b">
        <v>1</v>
      </c>
      <c r="Q10" s="1">
        <v>3</v>
      </c>
    </row>
    <row r="11" spans="1:17" ht="19.5" thickBot="1">
      <c r="A11">
        <v>10</v>
      </c>
      <c r="B11" s="8" t="s">
        <v>36</v>
      </c>
      <c r="C11" s="2" t="s">
        <v>19</v>
      </c>
      <c r="D11" s="2">
        <v>80</v>
      </c>
      <c r="E11" s="2">
        <v>0</v>
      </c>
      <c r="F11" s="2">
        <v>16</v>
      </c>
      <c r="G11" s="2">
        <v>16</v>
      </c>
      <c r="H11" s="2">
        <v>10</v>
      </c>
      <c r="I11" s="2">
        <v>10</v>
      </c>
      <c r="J11" s="2">
        <v>12</v>
      </c>
      <c r="K11" s="2">
        <v>5</v>
      </c>
      <c r="L11" s="2">
        <v>8</v>
      </c>
      <c r="M11" s="2">
        <v>10</v>
      </c>
      <c r="N11" s="2">
        <v>3</v>
      </c>
      <c r="O11" s="2">
        <v>5</v>
      </c>
      <c r="P11" s="2" t="b">
        <v>1</v>
      </c>
      <c r="Q11" s="2">
        <v>3</v>
      </c>
    </row>
    <row r="12" spans="1:17">
      <c r="A12">
        <v>11</v>
      </c>
      <c r="B12" s="5" t="s">
        <v>37</v>
      </c>
      <c r="C12" s="1" t="s">
        <v>18</v>
      </c>
      <c r="D12" s="1">
        <v>64</v>
      </c>
      <c r="E12" s="1">
        <v>0</v>
      </c>
      <c r="F12" s="1">
        <v>16</v>
      </c>
      <c r="G12" s="1">
        <v>16</v>
      </c>
      <c r="H12" s="1">
        <v>12</v>
      </c>
      <c r="I12" s="1">
        <v>16</v>
      </c>
      <c r="J12" s="1">
        <v>14</v>
      </c>
      <c r="K12" s="1">
        <v>8</v>
      </c>
      <c r="L12" s="1">
        <v>15</v>
      </c>
      <c r="M12" s="1">
        <v>40</v>
      </c>
      <c r="N12" s="1">
        <v>5</v>
      </c>
      <c r="O12" s="1">
        <v>8</v>
      </c>
      <c r="P12" s="1" t="b">
        <v>1</v>
      </c>
      <c r="Q12" s="1">
        <v>5</v>
      </c>
    </row>
    <row r="13" spans="1:17">
      <c r="A13">
        <v>12</v>
      </c>
      <c r="B13" s="6" t="s">
        <v>38</v>
      </c>
      <c r="C13" s="1" t="s">
        <v>19</v>
      </c>
      <c r="D13" s="1">
        <v>80</v>
      </c>
      <c r="E13" s="1">
        <v>0</v>
      </c>
      <c r="F13" s="1">
        <v>16</v>
      </c>
      <c r="G13" s="1">
        <v>16</v>
      </c>
      <c r="H13" s="1">
        <v>26</v>
      </c>
      <c r="I13" s="1">
        <v>22</v>
      </c>
      <c r="J13" s="1">
        <v>16</v>
      </c>
      <c r="K13" s="1">
        <v>5</v>
      </c>
      <c r="L13" s="1">
        <v>15</v>
      </c>
      <c r="M13" s="1">
        <v>10</v>
      </c>
      <c r="N13" s="1">
        <v>5</v>
      </c>
      <c r="O13" s="1">
        <v>10</v>
      </c>
      <c r="P13" s="1" t="b">
        <v>1</v>
      </c>
      <c r="Q13" s="1">
        <v>5</v>
      </c>
    </row>
    <row r="14" spans="1:17">
      <c r="A14">
        <v>13</v>
      </c>
      <c r="B14" s="5" t="s">
        <v>39</v>
      </c>
      <c r="C14" s="1" t="s">
        <v>21</v>
      </c>
      <c r="D14" s="1">
        <v>96</v>
      </c>
      <c r="E14" s="1">
        <v>0</v>
      </c>
      <c r="F14" s="1">
        <v>16</v>
      </c>
      <c r="G14" s="1">
        <v>16</v>
      </c>
      <c r="H14" s="1">
        <v>10</v>
      </c>
      <c r="I14" s="1">
        <v>10</v>
      </c>
      <c r="J14" s="1">
        <v>6</v>
      </c>
      <c r="K14" s="1">
        <v>10</v>
      </c>
      <c r="L14" s="1">
        <v>12</v>
      </c>
      <c r="M14" s="1">
        <v>0</v>
      </c>
      <c r="N14" s="1">
        <v>3</v>
      </c>
      <c r="O14" s="1">
        <v>5</v>
      </c>
      <c r="P14" s="1" t="b">
        <v>1</v>
      </c>
      <c r="Q14" s="1">
        <v>5</v>
      </c>
    </row>
    <row r="15" spans="1:17">
      <c r="A15">
        <v>14</v>
      </c>
      <c r="B15" s="6" t="s">
        <v>40</v>
      </c>
      <c r="C15" s="1" t="s">
        <v>22</v>
      </c>
      <c r="D15" s="1">
        <v>122</v>
      </c>
      <c r="E15" s="1">
        <v>0</v>
      </c>
      <c r="F15" s="1">
        <v>16</v>
      </c>
      <c r="G15" s="1">
        <v>16</v>
      </c>
      <c r="H15" s="1">
        <v>20</v>
      </c>
      <c r="I15" s="1">
        <v>14</v>
      </c>
      <c r="J15" s="1">
        <v>6</v>
      </c>
      <c r="K15" s="1">
        <v>8</v>
      </c>
      <c r="L15" s="1">
        <v>30</v>
      </c>
      <c r="M15" s="1">
        <v>0</v>
      </c>
      <c r="N15" s="1">
        <v>1</v>
      </c>
      <c r="O15" s="1">
        <v>1</v>
      </c>
      <c r="P15" s="1" t="b">
        <v>1</v>
      </c>
      <c r="Q15" s="1">
        <v>5</v>
      </c>
    </row>
    <row r="16" spans="1:17" ht="19.5" thickBot="1">
      <c r="A16">
        <v>15</v>
      </c>
      <c r="B16" s="7" t="s">
        <v>41</v>
      </c>
      <c r="C16" s="2" t="s">
        <v>23</v>
      </c>
      <c r="D16" s="2">
        <v>128</v>
      </c>
      <c r="E16" s="2">
        <v>0</v>
      </c>
      <c r="F16" s="2">
        <v>16</v>
      </c>
      <c r="G16" s="2">
        <v>16</v>
      </c>
      <c r="H16" s="2">
        <v>12</v>
      </c>
      <c r="I16" s="2">
        <v>12</v>
      </c>
      <c r="J16" s="2">
        <v>6</v>
      </c>
      <c r="K16" s="2">
        <v>10</v>
      </c>
      <c r="L16" s="2">
        <v>20</v>
      </c>
      <c r="M16" s="2">
        <v>0</v>
      </c>
      <c r="N16" s="2">
        <v>2</v>
      </c>
      <c r="O16" s="2">
        <v>5</v>
      </c>
      <c r="P16" s="2" t="b">
        <v>0</v>
      </c>
      <c r="Q16" s="2">
        <v>5</v>
      </c>
    </row>
    <row r="17" spans="1:17">
      <c r="A17">
        <v>16</v>
      </c>
      <c r="B17" s="6" t="s">
        <v>42</v>
      </c>
      <c r="C17" s="1" t="s">
        <v>21</v>
      </c>
      <c r="D17" s="1">
        <v>96</v>
      </c>
      <c r="E17" s="1">
        <v>0</v>
      </c>
      <c r="F17" s="1">
        <v>16</v>
      </c>
      <c r="G17" s="1">
        <v>16</v>
      </c>
      <c r="H17" s="1">
        <v>12</v>
      </c>
      <c r="I17" s="1">
        <v>12</v>
      </c>
      <c r="J17" s="1">
        <v>8</v>
      </c>
      <c r="K17" s="1">
        <v>12</v>
      </c>
      <c r="L17" s="1">
        <v>20</v>
      </c>
      <c r="M17" s="1">
        <v>0</v>
      </c>
      <c r="N17" s="1">
        <v>5</v>
      </c>
      <c r="O17" s="1">
        <v>10</v>
      </c>
      <c r="P17" s="1" t="b">
        <v>1</v>
      </c>
      <c r="Q17" s="1">
        <v>7</v>
      </c>
    </row>
    <row r="18" spans="1:17">
      <c r="A18">
        <v>17</v>
      </c>
      <c r="B18" s="5" t="s">
        <v>43</v>
      </c>
      <c r="C18" s="1" t="s">
        <v>22</v>
      </c>
      <c r="D18" s="1">
        <v>122</v>
      </c>
      <c r="E18" s="1">
        <v>0</v>
      </c>
      <c r="F18" s="1">
        <v>16</v>
      </c>
      <c r="G18" s="1">
        <v>16</v>
      </c>
      <c r="H18" s="1">
        <v>24</v>
      </c>
      <c r="I18" s="1">
        <v>16</v>
      </c>
      <c r="J18" s="1">
        <v>8</v>
      </c>
      <c r="K18" s="1">
        <v>10</v>
      </c>
      <c r="L18" s="1">
        <v>24</v>
      </c>
      <c r="M18" s="1">
        <v>0</v>
      </c>
      <c r="N18" s="1">
        <v>3</v>
      </c>
      <c r="O18" s="1">
        <v>5</v>
      </c>
      <c r="P18" s="1" t="b">
        <v>1</v>
      </c>
      <c r="Q18" s="1">
        <v>7</v>
      </c>
    </row>
    <row r="19" spans="1:17">
      <c r="A19">
        <v>18</v>
      </c>
      <c r="B19" s="6" t="s">
        <v>44</v>
      </c>
      <c r="C19" s="3" t="s">
        <v>23</v>
      </c>
      <c r="D19" s="3">
        <v>128</v>
      </c>
      <c r="E19" s="3">
        <v>0</v>
      </c>
      <c r="F19" s="3">
        <v>16</v>
      </c>
      <c r="G19" s="3">
        <v>16</v>
      </c>
      <c r="H19" s="1">
        <v>14</v>
      </c>
      <c r="I19" s="1">
        <v>14</v>
      </c>
      <c r="J19" s="1">
        <v>8</v>
      </c>
      <c r="K19" s="1">
        <v>12</v>
      </c>
      <c r="L19" s="1">
        <v>24</v>
      </c>
      <c r="M19" s="1">
        <v>0</v>
      </c>
      <c r="N19" s="1">
        <v>2</v>
      </c>
      <c r="O19" s="1">
        <v>8</v>
      </c>
      <c r="P19" s="1" t="b">
        <v>0</v>
      </c>
      <c r="Q19" s="1">
        <v>7</v>
      </c>
    </row>
    <row r="20" spans="1:17">
      <c r="A20">
        <v>19</v>
      </c>
      <c r="B20" s="5" t="s">
        <v>45</v>
      </c>
      <c r="C20" s="1" t="s">
        <v>24</v>
      </c>
      <c r="D20" s="1">
        <v>144</v>
      </c>
      <c r="E20" s="1">
        <v>0</v>
      </c>
      <c r="F20" s="1">
        <v>16</v>
      </c>
      <c r="G20" s="1">
        <v>16</v>
      </c>
      <c r="H20" s="1">
        <v>14</v>
      </c>
      <c r="I20" s="1">
        <v>12</v>
      </c>
      <c r="J20" s="1">
        <v>8</v>
      </c>
      <c r="K20" s="1">
        <v>10</v>
      </c>
      <c r="L20" s="1">
        <v>24</v>
      </c>
      <c r="M20" s="1">
        <v>0</v>
      </c>
      <c r="N20" s="1">
        <v>3</v>
      </c>
      <c r="O20" s="1">
        <v>5</v>
      </c>
      <c r="P20" s="1" t="b">
        <v>1</v>
      </c>
      <c r="Q20" s="1">
        <v>7</v>
      </c>
    </row>
    <row r="21" spans="1:17">
      <c r="A21">
        <v>20</v>
      </c>
      <c r="B21" s="6" t="s">
        <v>46</v>
      </c>
      <c r="C21" s="1" t="s">
        <v>25</v>
      </c>
      <c r="D21" s="1">
        <v>160</v>
      </c>
      <c r="E21" s="1">
        <v>0</v>
      </c>
      <c r="F21" s="1">
        <v>16</v>
      </c>
      <c r="G21" s="1">
        <v>16</v>
      </c>
      <c r="H21" s="1">
        <v>30</v>
      </c>
      <c r="I21" s="1">
        <v>24</v>
      </c>
      <c r="J21" s="1">
        <v>16</v>
      </c>
      <c r="K21" s="1">
        <v>8</v>
      </c>
      <c r="L21" s="1">
        <v>30</v>
      </c>
      <c r="M21" s="1">
        <v>20</v>
      </c>
      <c r="N21" s="1">
        <v>2</v>
      </c>
      <c r="O21" s="1">
        <v>5</v>
      </c>
      <c r="P21" s="1" t="b">
        <v>0</v>
      </c>
      <c r="Q21" s="1">
        <v>7</v>
      </c>
    </row>
  </sheetData>
  <autoFilter ref="A1:B21" xr:uid="{92263B3D-DA4D-4510-B206-FAF45B25C9EF}"/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BA42-AD1E-492F-9155-DAD1476E9B79}">
  <sheetPr codeName="Sheet4"/>
  <dimension ref="A1:K10"/>
  <sheetViews>
    <sheetView zoomScale="90" zoomScaleNormal="90" workbookViewId="0">
      <selection activeCell="B14" sqref="B14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2.125" bestFit="1" customWidth="1"/>
    <col min="10" max="10" width="12.125" customWidth="1"/>
    <col min="11" max="11" width="11.875" bestFit="1" customWidth="1"/>
    <col min="12" max="12" width="16" customWidth="1"/>
  </cols>
  <sheetData>
    <row r="1" spans="1:11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49</v>
      </c>
      <c r="H1" t="s">
        <v>65</v>
      </c>
      <c r="I1" t="s">
        <v>48</v>
      </c>
      <c r="J1" t="s">
        <v>66</v>
      </c>
      <c r="K1" t="s">
        <v>50</v>
      </c>
    </row>
    <row r="2" spans="1:11">
      <c r="A2" s="1">
        <v>0</v>
      </c>
      <c r="B2" s="9" t="s">
        <v>47</v>
      </c>
      <c r="C2" s="9">
        <v>0</v>
      </c>
      <c r="D2" s="9">
        <v>48</v>
      </c>
      <c r="E2" s="9">
        <v>8</v>
      </c>
      <c r="F2" s="9">
        <v>16</v>
      </c>
      <c r="G2" s="9">
        <v>2</v>
      </c>
      <c r="H2" s="9">
        <v>1</v>
      </c>
      <c r="I2" s="9" t="b">
        <v>0</v>
      </c>
      <c r="J2" s="9" t="b">
        <v>1</v>
      </c>
      <c r="K2" s="9">
        <v>10</v>
      </c>
    </row>
    <row r="3" spans="1:11">
      <c r="A3" s="1">
        <v>1</v>
      </c>
      <c r="B3" s="11" t="s">
        <v>51</v>
      </c>
      <c r="C3" s="11">
        <v>8</v>
      </c>
      <c r="D3" s="11">
        <v>48</v>
      </c>
      <c r="E3" s="11">
        <v>8</v>
      </c>
      <c r="F3" s="11">
        <v>16</v>
      </c>
      <c r="G3" s="11">
        <v>4</v>
      </c>
      <c r="H3" s="11">
        <v>3</v>
      </c>
      <c r="I3" s="11" t="b">
        <v>0</v>
      </c>
      <c r="J3" s="11" t="b">
        <v>0</v>
      </c>
      <c r="K3" s="11">
        <v>20</v>
      </c>
    </row>
    <row r="4" spans="1:11">
      <c r="A4" s="1">
        <v>2</v>
      </c>
      <c r="B4" s="11" t="s">
        <v>52</v>
      </c>
      <c r="C4" s="11">
        <v>16</v>
      </c>
      <c r="D4" s="11">
        <v>48</v>
      </c>
      <c r="E4" s="11">
        <v>8</v>
      </c>
      <c r="F4" s="11">
        <v>16</v>
      </c>
      <c r="G4" s="11">
        <v>8</v>
      </c>
      <c r="H4" s="11">
        <v>5</v>
      </c>
      <c r="I4" s="11" t="b">
        <v>0</v>
      </c>
      <c r="J4" s="11" t="b">
        <v>0</v>
      </c>
      <c r="K4" s="11">
        <v>40</v>
      </c>
    </row>
    <row r="5" spans="1:11">
      <c r="A5" s="1">
        <v>3</v>
      </c>
      <c r="B5" s="11" t="s">
        <v>53</v>
      </c>
      <c r="C5" s="11">
        <v>24</v>
      </c>
      <c r="D5" s="11">
        <v>48</v>
      </c>
      <c r="E5" s="11">
        <v>8</v>
      </c>
      <c r="F5" s="11">
        <v>16</v>
      </c>
      <c r="G5" s="11">
        <v>16</v>
      </c>
      <c r="H5" s="11">
        <v>2</v>
      </c>
      <c r="I5" s="11" t="b">
        <v>0</v>
      </c>
      <c r="J5" s="9" t="b">
        <v>1</v>
      </c>
      <c r="K5" s="11">
        <v>80</v>
      </c>
    </row>
    <row r="6" spans="1:11">
      <c r="A6" s="1">
        <v>4</v>
      </c>
      <c r="B6" s="12" t="s">
        <v>54</v>
      </c>
      <c r="C6" s="11">
        <v>32</v>
      </c>
      <c r="D6" s="11">
        <v>48</v>
      </c>
      <c r="E6" s="11">
        <v>8</v>
      </c>
      <c r="F6" s="11">
        <v>16</v>
      </c>
      <c r="G6" s="11">
        <v>24</v>
      </c>
      <c r="H6" s="11">
        <v>5</v>
      </c>
      <c r="I6" s="11" t="b">
        <v>0</v>
      </c>
      <c r="J6" s="9" t="b">
        <v>1</v>
      </c>
      <c r="K6" s="11">
        <v>160</v>
      </c>
    </row>
    <row r="7" spans="1:11">
      <c r="A7" s="1">
        <v>5</v>
      </c>
      <c r="B7" s="10" t="s">
        <v>55</v>
      </c>
      <c r="C7" s="11">
        <v>48</v>
      </c>
      <c r="D7" s="11">
        <v>48</v>
      </c>
      <c r="E7" s="11">
        <v>8</v>
      </c>
      <c r="F7" s="11">
        <v>16</v>
      </c>
      <c r="G7" s="11">
        <v>32</v>
      </c>
      <c r="H7" s="11">
        <v>4</v>
      </c>
      <c r="I7" s="11" t="b">
        <v>1</v>
      </c>
      <c r="J7" s="9" t="b">
        <v>1</v>
      </c>
      <c r="K7" s="11">
        <v>320</v>
      </c>
    </row>
    <row r="8" spans="1:11">
      <c r="A8" s="1">
        <v>6</v>
      </c>
      <c r="B8" s="12" t="s">
        <v>56</v>
      </c>
      <c r="C8" s="11">
        <v>64</v>
      </c>
      <c r="D8" s="11">
        <v>48</v>
      </c>
      <c r="E8" s="11">
        <v>8</v>
      </c>
      <c r="F8" s="11">
        <v>16</v>
      </c>
      <c r="G8" s="11">
        <v>40</v>
      </c>
      <c r="H8" s="11">
        <v>7</v>
      </c>
      <c r="I8" s="11" t="b">
        <v>0</v>
      </c>
      <c r="J8" s="9" t="b">
        <v>1</v>
      </c>
      <c r="K8" s="11">
        <v>640</v>
      </c>
    </row>
    <row r="9" spans="1:11">
      <c r="A9" s="1">
        <v>7</v>
      </c>
      <c r="B9" s="10" t="s">
        <v>57</v>
      </c>
      <c r="C9" s="11">
        <v>56</v>
      </c>
      <c r="D9" s="11">
        <v>48</v>
      </c>
      <c r="E9" s="11">
        <v>8</v>
      </c>
      <c r="F9" s="11">
        <v>16</v>
      </c>
      <c r="G9" s="11">
        <v>48</v>
      </c>
      <c r="H9" s="11">
        <v>6</v>
      </c>
      <c r="I9" s="11" t="b">
        <v>1</v>
      </c>
      <c r="J9" s="9" t="b">
        <v>1</v>
      </c>
      <c r="K9" s="11">
        <v>1280</v>
      </c>
    </row>
    <row r="10" spans="1:11">
      <c r="A10" s="1">
        <v>8</v>
      </c>
      <c r="B10" s="12" t="s">
        <v>58</v>
      </c>
      <c r="C10" s="11">
        <v>80</v>
      </c>
      <c r="D10" s="11">
        <v>48</v>
      </c>
      <c r="E10" s="11">
        <v>8</v>
      </c>
      <c r="F10" s="11">
        <v>16</v>
      </c>
      <c r="G10" s="11">
        <v>60</v>
      </c>
      <c r="H10" s="11">
        <v>10</v>
      </c>
      <c r="I10" s="11" t="b">
        <v>1</v>
      </c>
      <c r="J10" s="9" t="b">
        <v>1</v>
      </c>
      <c r="K10" s="11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114E0-D915-4CE9-9592-120FDACEE2FA}">
  <sheetPr codeName="Sheet5"/>
  <dimension ref="A1:I7"/>
  <sheetViews>
    <sheetView zoomScale="90" zoomScaleNormal="90" workbookViewId="0">
      <selection activeCell="A8" sqref="A8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68</v>
      </c>
      <c r="H1" t="s">
        <v>67</v>
      </c>
      <c r="I1" t="s">
        <v>50</v>
      </c>
    </row>
    <row r="2" spans="1:9">
      <c r="A2" s="1">
        <v>0</v>
      </c>
      <c r="B2" s="9" t="s">
        <v>59</v>
      </c>
      <c r="C2" s="9">
        <v>24</v>
      </c>
      <c r="D2" s="9">
        <v>32</v>
      </c>
      <c r="E2" s="9">
        <v>8</v>
      </c>
      <c r="F2" s="9">
        <v>16</v>
      </c>
      <c r="G2" s="9">
        <v>4</v>
      </c>
      <c r="H2" s="9">
        <v>1</v>
      </c>
      <c r="I2" s="9">
        <v>40</v>
      </c>
    </row>
    <row r="3" spans="1:9">
      <c r="A3" s="1">
        <v>1</v>
      </c>
      <c r="B3" s="11" t="s">
        <v>60</v>
      </c>
      <c r="C3" s="11">
        <v>32</v>
      </c>
      <c r="D3" s="11">
        <v>32</v>
      </c>
      <c r="E3" s="11">
        <v>8</v>
      </c>
      <c r="F3" s="11">
        <v>16</v>
      </c>
      <c r="G3" s="11">
        <v>8</v>
      </c>
      <c r="H3" s="11">
        <v>4</v>
      </c>
      <c r="I3" s="11">
        <v>160</v>
      </c>
    </row>
    <row r="4" spans="1:9">
      <c r="A4" s="1">
        <v>2</v>
      </c>
      <c r="B4" s="11" t="s">
        <v>61</v>
      </c>
      <c r="C4" s="11">
        <v>40</v>
      </c>
      <c r="D4" s="11">
        <v>32</v>
      </c>
      <c r="E4" s="11">
        <v>8</v>
      </c>
      <c r="F4" s="11">
        <v>16</v>
      </c>
      <c r="G4" s="11">
        <v>16</v>
      </c>
      <c r="H4" s="11">
        <v>8</v>
      </c>
      <c r="I4" s="11">
        <v>640</v>
      </c>
    </row>
    <row r="5" spans="1:9">
      <c r="A5" s="1">
        <v>3</v>
      </c>
      <c r="B5" s="11" t="s">
        <v>62</v>
      </c>
      <c r="C5" s="11">
        <v>48</v>
      </c>
      <c r="D5" s="11">
        <v>32</v>
      </c>
      <c r="E5" s="11">
        <v>8</v>
      </c>
      <c r="F5" s="11">
        <v>16</v>
      </c>
      <c r="G5" s="11">
        <v>32</v>
      </c>
      <c r="H5" s="11">
        <v>16</v>
      </c>
      <c r="I5" s="11">
        <v>2560</v>
      </c>
    </row>
    <row r="6" spans="1:9">
      <c r="A6" s="1">
        <v>4</v>
      </c>
      <c r="B6" s="12" t="s">
        <v>63</v>
      </c>
      <c r="C6" s="11">
        <v>56</v>
      </c>
      <c r="D6" s="11">
        <v>32</v>
      </c>
      <c r="E6" s="11">
        <v>8</v>
      </c>
      <c r="F6" s="11">
        <v>16</v>
      </c>
      <c r="G6" s="11">
        <v>64</v>
      </c>
      <c r="H6" s="11">
        <v>32</v>
      </c>
      <c r="I6" s="11">
        <v>10240</v>
      </c>
    </row>
    <row r="7" spans="1:9">
      <c r="A7" s="1">
        <v>5</v>
      </c>
      <c r="B7" s="10" t="s">
        <v>64</v>
      </c>
      <c r="C7" s="11">
        <v>72</v>
      </c>
      <c r="D7" s="11">
        <v>32</v>
      </c>
      <c r="E7" s="11">
        <v>8</v>
      </c>
      <c r="F7" s="11">
        <v>16</v>
      </c>
      <c r="G7" s="11">
        <v>128</v>
      </c>
      <c r="H7" s="11">
        <v>0</v>
      </c>
      <c r="I7" s="11">
        <v>-1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7E94B-ACE6-4F75-B34F-33371CD61762}">
  <sheetPr codeName="Sheet6"/>
  <dimension ref="A1:I4"/>
  <sheetViews>
    <sheetView zoomScale="90" zoomScaleNormal="90" workbookViewId="0">
      <selection activeCell="B5" sqref="B5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68</v>
      </c>
      <c r="H1" t="s">
        <v>67</v>
      </c>
      <c r="I1" t="s">
        <v>50</v>
      </c>
    </row>
    <row r="2" spans="1:9">
      <c r="A2" s="1">
        <v>0</v>
      </c>
      <c r="B2" s="9" t="s">
        <v>78</v>
      </c>
      <c r="C2" s="9">
        <v>128</v>
      </c>
      <c r="D2" s="9">
        <v>40</v>
      </c>
      <c r="E2" s="9">
        <v>8</v>
      </c>
      <c r="F2" s="9">
        <v>8</v>
      </c>
      <c r="G2" s="9">
        <v>2</v>
      </c>
      <c r="H2" s="9">
        <v>2</v>
      </c>
      <c r="I2" s="9">
        <v>30</v>
      </c>
    </row>
    <row r="3" spans="1:9">
      <c r="A3" s="1">
        <v>1</v>
      </c>
      <c r="B3" s="11" t="s">
        <v>79</v>
      </c>
      <c r="C3" s="11">
        <v>136</v>
      </c>
      <c r="D3" s="11">
        <v>40</v>
      </c>
      <c r="E3" s="11">
        <v>8</v>
      </c>
      <c r="F3" s="11">
        <v>8</v>
      </c>
      <c r="G3" s="11">
        <v>8</v>
      </c>
      <c r="H3" s="11">
        <v>8</v>
      </c>
      <c r="I3" s="11">
        <v>270</v>
      </c>
    </row>
    <row r="4" spans="1:9">
      <c r="A4" s="1">
        <v>2</v>
      </c>
      <c r="B4" s="11" t="s">
        <v>80</v>
      </c>
      <c r="C4" s="11">
        <v>144</v>
      </c>
      <c r="D4" s="11">
        <v>40</v>
      </c>
      <c r="E4" s="11">
        <v>8</v>
      </c>
      <c r="F4" s="11">
        <v>8</v>
      </c>
      <c r="G4" s="11">
        <v>24</v>
      </c>
      <c r="H4" s="11">
        <v>24</v>
      </c>
      <c r="I4" s="11">
        <v>2430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18457-D279-4088-ADCC-1E2AEA6FA273}">
  <sheetPr codeName="Sheet7"/>
  <dimension ref="A1:I4"/>
  <sheetViews>
    <sheetView zoomScale="90" zoomScaleNormal="90" workbookViewId="0">
      <selection activeCell="B3" sqref="B3"/>
    </sheetView>
  </sheetViews>
  <sheetFormatPr defaultRowHeight="18.75"/>
  <cols>
    <col min="1" max="1" width="9" style="1"/>
    <col min="2" max="2" width="24.625" customWidth="1"/>
    <col min="3" max="7" width="11.875" bestFit="1" customWidth="1"/>
    <col min="8" max="8" width="11.875" customWidth="1"/>
    <col min="9" max="9" width="11.875" bestFit="1" customWidth="1"/>
    <col min="10" max="10" width="16" customWidth="1"/>
  </cols>
  <sheetData>
    <row r="1" spans="1:9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68</v>
      </c>
      <c r="H1" t="s">
        <v>67</v>
      </c>
      <c r="I1" t="s">
        <v>50</v>
      </c>
    </row>
    <row r="2" spans="1:9">
      <c r="A2" s="1">
        <v>0</v>
      </c>
      <c r="B2" s="9" t="s">
        <v>81</v>
      </c>
      <c r="C2" s="9">
        <v>128</v>
      </c>
      <c r="D2" s="9">
        <v>32</v>
      </c>
      <c r="E2" s="9">
        <v>8</v>
      </c>
      <c r="F2" s="9">
        <v>8</v>
      </c>
      <c r="G2" s="9">
        <v>4</v>
      </c>
      <c r="H2" s="9">
        <v>1</v>
      </c>
      <c r="I2" s="9">
        <v>40</v>
      </c>
    </row>
    <row r="3" spans="1:9">
      <c r="A3" s="1">
        <v>1</v>
      </c>
      <c r="B3" s="11" t="s">
        <v>75</v>
      </c>
      <c r="C3" s="11">
        <v>136</v>
      </c>
      <c r="D3" s="11">
        <v>32</v>
      </c>
      <c r="E3" s="11">
        <v>8</v>
      </c>
      <c r="F3" s="11">
        <v>8</v>
      </c>
      <c r="G3" s="11">
        <v>16</v>
      </c>
      <c r="H3" s="11">
        <v>8</v>
      </c>
      <c r="I3" s="11">
        <v>320</v>
      </c>
    </row>
    <row r="4" spans="1:9">
      <c r="A4" s="1">
        <v>2</v>
      </c>
      <c r="B4" s="11" t="s">
        <v>76</v>
      </c>
      <c r="C4" s="11">
        <v>144</v>
      </c>
      <c r="D4" s="11">
        <v>32</v>
      </c>
      <c r="E4" s="11">
        <v>8</v>
      </c>
      <c r="F4" s="11">
        <v>8</v>
      </c>
      <c r="G4" s="11">
        <v>32</v>
      </c>
      <c r="H4" s="11">
        <v>16</v>
      </c>
      <c r="I4" s="11">
        <v>2560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530B57-A08C-4D0A-9278-ACAB840BC4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BATTLE</vt:lpstr>
      <vt:lpstr>MONSTER</vt:lpstr>
      <vt:lpstr>WEAPON</vt:lpstr>
      <vt:lpstr>ARMOR</vt:lpstr>
      <vt:lpstr>SHIELD</vt:lpstr>
      <vt:lpstr>HELMET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hitoshi</dc:creator>
  <cp:lastModifiedBy>hitoshi</cp:lastModifiedBy>
  <dcterms:created xsi:type="dcterms:W3CDTF">2015-06-05T18:19:34Z</dcterms:created>
  <dcterms:modified xsi:type="dcterms:W3CDTF">2020-11-10T14:35:51Z</dcterms:modified>
</cp:coreProperties>
</file>